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icloud365-my.sharepoint.com/personal/imashai_millenniumitesp_com/Documents/Desktop/MSc BInA/Academics/3-Interactive Visualization/Assesment/Project/group4-interactive-visualisation/documentation/scrum/"/>
    </mc:Choice>
  </mc:AlternateContent>
  <xr:revisionPtr revIDLastSave="2" documentId="13_ncr:1_{5659F6B7-417C-418B-954F-BD5F9BDF652B}" xr6:coauthVersionLast="47" xr6:coauthVersionMax="47" xr10:uidLastSave="{56E2E1EF-2ACF-4FB5-B285-BF38C3390A23}"/>
  <bookViews>
    <workbookView xWindow="-110" yWindow="-110" windowWidth="19420" windowHeight="11500" tabRatio="500" xr2:uid="{00000000-000D-0000-FFFF-FFFF00000000}"/>
  </bookViews>
  <sheets>
    <sheet name="Sprint 3 Burndown" sheetId="1" r:id="rId1"/>
    <sheet name="Task Register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1" l="1"/>
  <c r="C8" i="1"/>
  <c r="E7" i="1"/>
  <c r="C7" i="1"/>
  <c r="E6" i="1"/>
  <c r="C6" i="1"/>
  <c r="E5" i="1"/>
  <c r="C5" i="1"/>
  <c r="E4" i="1"/>
  <c r="C4" i="1"/>
  <c r="E3" i="1"/>
  <c r="C3" i="1"/>
  <c r="C2" i="1"/>
  <c r="E2" i="1" s="1"/>
</calcChain>
</file>

<file path=xl/sharedStrings.xml><?xml version="1.0" encoding="utf-8"?>
<sst xmlns="http://schemas.openxmlformats.org/spreadsheetml/2006/main" count="151" uniqueCount="86">
  <si>
    <t>Day</t>
  </si>
  <si>
    <t>Date</t>
  </si>
  <si>
    <t>Planned Remaining</t>
  </si>
  <si>
    <t>Actual Remaining</t>
  </si>
  <si>
    <t>Completed Today</t>
  </si>
  <si>
    <t>Notes</t>
  </si>
  <si>
    <t>Day 0</t>
  </si>
  <si>
    <t>Sprint 3 starts (Meeting 03, 4 Oct 2026); 15 backlog items planned (S3-01 to S3-15). All items Not Started at kickoff, per Meeting 3 action items; no work closed on Day 0.</t>
  </si>
  <si>
    <t>Day 1</t>
  </si>
  <si>
    <t>Shared D3.js v7 environment set up (S3-01), common dataset loaded (S3-13), D3.js version confirmed (S3-14) and common CSS created (S3-11); all four due Day 1 per Meeting 3 sprint plan.</t>
  </si>
  <si>
    <t>Day 2</t>
  </si>
  <si>
    <t>Chart 1 (S3-02) and Chart 2 (S3-05) D3.js builds closed; due Day 2–3 per Meeting 3 sprint plan.</t>
  </si>
  <si>
    <t>Day 3</t>
  </si>
  <si>
    <t>Chart 3 D3.js build (S3-08) closed, completing the Day 2–3 development window.</t>
  </si>
  <si>
    <t>Day 4</t>
  </si>
  <si>
    <t>Tooltips and interactions closed for all three charts (S3-03, S3-04, S3-06, S3-07, S3-09, S3-10); due Day 4 per Meeting 3 sprint plan.</t>
  </si>
  <si>
    <t>Day 5</t>
  </si>
  <si>
    <t>First-pass dashboard with all three D3.js charts assembled (S3-12); due Day 5.</t>
  </si>
  <si>
    <t>Day 6</t>
  </si>
  <si>
    <t>Sprint end. Individual chart review against research questions and Excel prototypes (S3-15) closed; due end of Week 03. Sprint 3 Backlog fully Done (Product Backlog Sprint Task Log).</t>
  </si>
  <si>
    <t>ID</t>
  </si>
  <si>
    <t>Category</t>
  </si>
  <si>
    <t>Task</t>
  </si>
  <si>
    <t>Priority</t>
  </si>
  <si>
    <t>Initial Status</t>
  </si>
  <si>
    <t>Completed?</t>
  </si>
  <si>
    <t>Allocated</t>
  </si>
  <si>
    <t>Day Number</t>
  </si>
  <si>
    <t>S3-01</t>
  </si>
  <si>
    <t>Member 1</t>
  </si>
  <si>
    <t>Set up D3.js v7</t>
  </si>
  <si>
    <t>High</t>
  </si>
  <si>
    <t>To Do</t>
  </si>
  <si>
    <t>Yes</t>
  </si>
  <si>
    <t>Ilamperuma</t>
  </si>
  <si>
    <t>S3-02</t>
  </si>
  <si>
    <t>Develop Chart 1</t>
  </si>
  <si>
    <t>Samarakoon</t>
  </si>
  <si>
    <t>S3-03</t>
  </si>
  <si>
    <t>Add Chart 1 tooltip</t>
  </si>
  <si>
    <t>S3-04</t>
  </si>
  <si>
    <t>Add Chart 1 interaction</t>
  </si>
  <si>
    <t>S3-05</t>
  </si>
  <si>
    <t>Member 2</t>
  </si>
  <si>
    <t>Develop Chart 2</t>
  </si>
  <si>
    <t>S3-06</t>
  </si>
  <si>
    <t>Add Chart 2 tooltip</t>
  </si>
  <si>
    <t>S3-07</t>
  </si>
  <si>
    <t>Add Chart 2 interaction</t>
  </si>
  <si>
    <t>S3-08</t>
  </si>
  <si>
    <t>Member 3</t>
  </si>
  <si>
    <t>Develop Chart 3</t>
  </si>
  <si>
    <t>De Silva</t>
  </si>
  <si>
    <t>S3-09</t>
  </si>
  <si>
    <t>Add Chart 3 tooltip</t>
  </si>
  <si>
    <t>S3-10</t>
  </si>
  <si>
    <t>Add Chart 3 interaction</t>
  </si>
  <si>
    <t>S3-11</t>
  </si>
  <si>
    <t>Team</t>
  </si>
  <si>
    <t>Create common CSS</t>
  </si>
  <si>
    <t>All</t>
  </si>
  <si>
    <t>S3-12</t>
  </si>
  <si>
    <t>Create initial dashboard</t>
  </si>
  <si>
    <t>S3-13</t>
  </si>
  <si>
    <t>Load common dataset</t>
  </si>
  <si>
    <t>S3-14</t>
  </si>
  <si>
    <t>Check D3.js version</t>
  </si>
  <si>
    <t>S3-15</t>
  </si>
  <si>
    <t>Individual chart review</t>
  </si>
  <si>
    <t>Item</t>
  </si>
  <si>
    <t>Instruction</t>
  </si>
  <si>
    <t>Purpose</t>
  </si>
  <si>
    <t>Use this workbook as Sprint 3 burndown evidence.</t>
  </si>
  <si>
    <t>Initial workload</t>
  </si>
  <si>
    <t>Sprint 3 contains 15 backlog items (S3-01 to S3-15), per the Product Backlog / Sprint Task Log.</t>
  </si>
  <si>
    <t>Day 0 starting point</t>
  </si>
  <si>
    <t>Day 0 (4 Oct 2026) reflects Meeting 03 (Sprint 3 kickoff): every Sprint 3 action item was recorded as Not Started, so all 15 items are open on Day 0 and none is closed at kickoff.</t>
  </si>
  <si>
    <t>Daily update</t>
  </si>
  <si>
    <t>At the end of each working day, count unchecked Sprint 3 checklist items in Trello and enter that number in Actual Remaining.</t>
  </si>
  <si>
    <t>This column calculates daily completion from the Actual Remaining values.</t>
  </si>
  <si>
    <t>Important</t>
  </si>
  <si>
    <t>Do not invent actual progress. Use the real Trello checklist count.</t>
  </si>
  <si>
    <t>Chart</t>
  </si>
  <si>
    <t>The planned and actual lines both update automatically from the table.</t>
  </si>
  <si>
    <t>Evidence</t>
  </si>
  <si>
    <t>Keep dated Trello screenshots or board history if your lecturer requires progress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</si>
</sst>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  <font>
      <sz val="11"/>
      <color rgb="FF0000FF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Sprint 3 Burndown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3 Burndown'!$C$1</c:f>
              <c:strCache>
                <c:ptCount val="1"/>
                <c:pt idx="0">
                  <c:v>Planned Remaining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3 Burndown'!$A$2:$A$8</c:f>
              <c:strCache>
                <c:ptCount val="7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</c:strCache>
            </c:strRef>
          </c:cat>
          <c:val>
            <c:numRef>
              <c:f>'Sprint 3 Burndown'!$C$2:$C$8</c:f>
              <c:numCache>
                <c:formatCode>General</c:formatCode>
                <c:ptCount val="7"/>
                <c:pt idx="0">
                  <c:v>15</c:v>
                </c:pt>
                <c:pt idx="1">
                  <c:v>13</c:v>
                </c:pt>
                <c:pt idx="2">
                  <c:v>10</c:v>
                </c:pt>
                <c:pt idx="3">
                  <c:v>8</c:v>
                </c:pt>
                <c:pt idx="4">
                  <c:v>5</c:v>
                </c:pt>
                <c:pt idx="5">
                  <c:v>3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4-488A-95A2-8AF2C40EC68C}"/>
            </c:ext>
          </c:extLst>
        </c:ser>
        <c:ser>
          <c:idx val="1"/>
          <c:order val="1"/>
          <c:tx>
            <c:strRef>
              <c:f>'Sprint 3 Burndown'!$D$1</c:f>
              <c:strCache>
                <c:ptCount val="1"/>
                <c:pt idx="0">
                  <c:v>Actual Remaining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3 Burndown'!$A$2:$A$8</c:f>
              <c:strCache>
                <c:ptCount val="7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</c:strCache>
            </c:strRef>
          </c:cat>
          <c:val>
            <c:numRef>
              <c:f>'Sprint 3 Burndown'!$D$2:$D$8</c:f>
              <c:numCache>
                <c:formatCode>General</c:formatCode>
                <c:ptCount val="7"/>
                <c:pt idx="0">
                  <c:v>15</c:v>
                </c:pt>
                <c:pt idx="1">
                  <c:v>11</c:v>
                </c:pt>
                <c:pt idx="2">
                  <c:v>9</c:v>
                </c:pt>
                <c:pt idx="3">
                  <c:v>8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4-488A-95A2-8AF2C40EC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8403878"/>
        <c:axId val="6448037"/>
      </c:lineChart>
      <c:catAx>
        <c:axId val="384038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Sprint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48037"/>
        <c:crosses val="autoZero"/>
        <c:auto val="1"/>
        <c:lblAlgn val="ctr"/>
        <c:lblOffset val="100"/>
        <c:noMultiLvlLbl val="0"/>
      </c:catAx>
      <c:valAx>
        <c:axId val="6448037"/>
        <c:scaling>
          <c:orientation val="minMax"/>
          <c:max val="16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Items Remaining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403878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5</xdr:col>
      <xdr:colOff>3635280</xdr:colOff>
      <xdr:row>26</xdr:row>
      <xdr:rowOff>181440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16" customWidth="1"/>
    <col min="3" max="3" width="20" customWidth="1"/>
    <col min="4" max="4" width="18" customWidth="1"/>
    <col min="5" max="5" width="17" customWidth="1"/>
    <col min="6" max="6" width="6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3">
        <v>46299</v>
      </c>
      <c r="C2" s="2">
        <f>ROUND(COUNTA('Task Register'!$A$2:$A$16)*(1-0/6),0)</f>
        <v>15</v>
      </c>
      <c r="D2" s="2">
        <v>15</v>
      </c>
      <c r="E2" s="2">
        <f>IF(OR(D2=""),"",C2-D2)</f>
        <v>0</v>
      </c>
      <c r="F2" s="2" t="s">
        <v>7</v>
      </c>
    </row>
    <row r="3" spans="1:6" x14ac:dyDescent="0.35">
      <c r="A3" s="2" t="s">
        <v>8</v>
      </c>
      <c r="B3" s="3">
        <v>46300</v>
      </c>
      <c r="C3" s="2">
        <f>ROUND(COUNTA('Task Register'!$A$2:$A$16)*(1-1/6),0)</f>
        <v>13</v>
      </c>
      <c r="D3" s="4">
        <v>11</v>
      </c>
      <c r="E3" s="2">
        <f t="shared" ref="E3:E8" si="0">IF(OR(D3="",D2=""),"",D2-D3)</f>
        <v>4</v>
      </c>
      <c r="F3" s="2" t="s">
        <v>9</v>
      </c>
    </row>
    <row r="4" spans="1:6" x14ac:dyDescent="0.35">
      <c r="A4" s="2" t="s">
        <v>10</v>
      </c>
      <c r="B4" s="3">
        <v>46301</v>
      </c>
      <c r="C4" s="2">
        <f>ROUND(COUNTA('Task Register'!$A$2:$A$16)*(1-2/6),0)</f>
        <v>10</v>
      </c>
      <c r="D4" s="4">
        <v>9</v>
      </c>
      <c r="E4" s="2">
        <f t="shared" si="0"/>
        <v>2</v>
      </c>
      <c r="F4" s="2" t="s">
        <v>11</v>
      </c>
    </row>
    <row r="5" spans="1:6" x14ac:dyDescent="0.35">
      <c r="A5" s="2" t="s">
        <v>12</v>
      </c>
      <c r="B5" s="3">
        <v>46302</v>
      </c>
      <c r="C5" s="2">
        <f>ROUND(COUNTA('Task Register'!$A$2:$A$16)*(1-3/6),0)</f>
        <v>8</v>
      </c>
      <c r="D5" s="4">
        <v>8</v>
      </c>
      <c r="E5" s="2">
        <f t="shared" si="0"/>
        <v>1</v>
      </c>
      <c r="F5" s="2" t="s">
        <v>13</v>
      </c>
    </row>
    <row r="6" spans="1:6" x14ac:dyDescent="0.35">
      <c r="A6" s="2" t="s">
        <v>14</v>
      </c>
      <c r="B6" s="3">
        <v>46303</v>
      </c>
      <c r="C6" s="2">
        <f>ROUND(COUNTA('Task Register'!$A$2:$A$16)*(1-4/6),0)</f>
        <v>5</v>
      </c>
      <c r="D6" s="4">
        <v>2</v>
      </c>
      <c r="E6" s="2">
        <f t="shared" si="0"/>
        <v>6</v>
      </c>
      <c r="F6" s="2" t="s">
        <v>15</v>
      </c>
    </row>
    <row r="7" spans="1:6" x14ac:dyDescent="0.35">
      <c r="A7" s="2" t="s">
        <v>16</v>
      </c>
      <c r="B7" s="3">
        <v>46304</v>
      </c>
      <c r="C7" s="2">
        <f>ROUND(COUNTA('Task Register'!$A$2:$A$16)*(1-5/6),0)</f>
        <v>3</v>
      </c>
      <c r="D7" s="4">
        <v>1</v>
      </c>
      <c r="E7" s="2">
        <f t="shared" si="0"/>
        <v>1</v>
      </c>
      <c r="F7" s="2" t="s">
        <v>17</v>
      </c>
    </row>
    <row r="8" spans="1:6" x14ac:dyDescent="0.35">
      <c r="A8" s="2" t="s">
        <v>18</v>
      </c>
      <c r="B8" s="3">
        <v>46305</v>
      </c>
      <c r="C8" s="2">
        <f>ROUND(COUNTA('Task Register'!$A$2:$A$16)*(1-6/6),0)</f>
        <v>0</v>
      </c>
      <c r="D8" s="4">
        <v>0</v>
      </c>
      <c r="E8" s="2">
        <f t="shared" si="0"/>
        <v>1</v>
      </c>
      <c r="F8" s="2" t="s">
        <v>19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Normal="100" workbookViewId="0">
      <pane ySplit="1" topLeftCell="A2" activePane="bottomLeft" state="frozen"/>
      <selection pane="bottomLeft" activeCell="C20" sqref="C20"/>
    </sheetView>
  </sheetViews>
  <sheetFormatPr defaultColWidth="8.6328125" defaultRowHeight="14.5" x14ac:dyDescent="0.35"/>
  <cols>
    <col min="1" max="1" width="10" customWidth="1"/>
    <col min="2" max="2" width="12" customWidth="1"/>
    <col min="3" max="3" width="34" customWidth="1"/>
    <col min="4" max="4" width="12" customWidth="1"/>
    <col min="5" max="5" width="14" customWidth="1"/>
    <col min="6" max="6" width="12" customWidth="1"/>
    <col min="7" max="7" width="14" customWidth="1"/>
    <col min="8" max="8" width="11.453125" customWidth="1"/>
  </cols>
  <sheetData>
    <row r="1" spans="1:8" x14ac:dyDescent="0.3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 x14ac:dyDescent="0.35">
      <c r="A2" s="2" t="s">
        <v>28</v>
      </c>
      <c r="B2" s="2" t="s">
        <v>43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>
        <v>1</v>
      </c>
    </row>
    <row r="3" spans="1:8" x14ac:dyDescent="0.35">
      <c r="A3" s="2" t="s">
        <v>35</v>
      </c>
      <c r="B3" s="2" t="s">
        <v>29</v>
      </c>
      <c r="C3" s="2" t="s">
        <v>36</v>
      </c>
      <c r="D3" s="2" t="s">
        <v>31</v>
      </c>
      <c r="E3" s="2" t="s">
        <v>32</v>
      </c>
      <c r="F3" s="2" t="s">
        <v>33</v>
      </c>
      <c r="G3" s="2" t="s">
        <v>37</v>
      </c>
      <c r="H3" s="2">
        <v>2</v>
      </c>
    </row>
    <row r="4" spans="1:8" x14ac:dyDescent="0.35">
      <c r="A4" s="2" t="s">
        <v>38</v>
      </c>
      <c r="B4" s="2" t="s">
        <v>29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37</v>
      </c>
      <c r="H4" s="2">
        <v>4</v>
      </c>
    </row>
    <row r="5" spans="1:8" x14ac:dyDescent="0.35">
      <c r="A5" s="2" t="s">
        <v>40</v>
      </c>
      <c r="B5" s="2" t="s">
        <v>29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37</v>
      </c>
      <c r="H5" s="2">
        <v>4</v>
      </c>
    </row>
    <row r="6" spans="1:8" x14ac:dyDescent="0.35">
      <c r="A6" s="2" t="s">
        <v>42</v>
      </c>
      <c r="B6" s="2" t="s">
        <v>43</v>
      </c>
      <c r="C6" s="2" t="s">
        <v>44</v>
      </c>
      <c r="D6" s="2" t="s">
        <v>31</v>
      </c>
      <c r="E6" s="2" t="s">
        <v>32</v>
      </c>
      <c r="F6" s="2" t="s">
        <v>33</v>
      </c>
      <c r="G6" s="2" t="s">
        <v>34</v>
      </c>
      <c r="H6" s="2">
        <v>2</v>
      </c>
    </row>
    <row r="7" spans="1:8" x14ac:dyDescent="0.35">
      <c r="A7" s="2" t="s">
        <v>45</v>
      </c>
      <c r="B7" s="2" t="s">
        <v>43</v>
      </c>
      <c r="C7" s="2" t="s">
        <v>46</v>
      </c>
      <c r="D7" s="2" t="s">
        <v>31</v>
      </c>
      <c r="E7" s="2" t="s">
        <v>32</v>
      </c>
      <c r="F7" s="2" t="s">
        <v>33</v>
      </c>
      <c r="G7" s="2" t="s">
        <v>34</v>
      </c>
      <c r="H7" s="2">
        <v>4</v>
      </c>
    </row>
    <row r="8" spans="1:8" x14ac:dyDescent="0.35">
      <c r="A8" s="2" t="s">
        <v>47</v>
      </c>
      <c r="B8" s="2" t="s">
        <v>43</v>
      </c>
      <c r="C8" s="2" t="s">
        <v>48</v>
      </c>
      <c r="D8" s="2" t="s">
        <v>31</v>
      </c>
      <c r="E8" s="2" t="s">
        <v>32</v>
      </c>
      <c r="F8" s="2" t="s">
        <v>33</v>
      </c>
      <c r="G8" s="2" t="s">
        <v>34</v>
      </c>
      <c r="H8" s="2">
        <v>4</v>
      </c>
    </row>
    <row r="9" spans="1:8" x14ac:dyDescent="0.35">
      <c r="A9" s="2" t="s">
        <v>49</v>
      </c>
      <c r="B9" s="2" t="s">
        <v>50</v>
      </c>
      <c r="C9" s="2" t="s">
        <v>51</v>
      </c>
      <c r="D9" s="2" t="s">
        <v>31</v>
      </c>
      <c r="E9" s="2" t="s">
        <v>32</v>
      </c>
      <c r="F9" s="2" t="s">
        <v>33</v>
      </c>
      <c r="G9" s="2" t="s">
        <v>52</v>
      </c>
      <c r="H9" s="2">
        <v>3</v>
      </c>
    </row>
    <row r="10" spans="1:8" x14ac:dyDescent="0.35">
      <c r="A10" s="2" t="s">
        <v>53</v>
      </c>
      <c r="B10" s="2" t="s">
        <v>50</v>
      </c>
      <c r="C10" s="2" t="s">
        <v>54</v>
      </c>
      <c r="D10" s="2" t="s">
        <v>31</v>
      </c>
      <c r="E10" s="2" t="s">
        <v>32</v>
      </c>
      <c r="F10" s="2" t="s">
        <v>33</v>
      </c>
      <c r="G10" s="2" t="s">
        <v>52</v>
      </c>
      <c r="H10" s="2">
        <v>4</v>
      </c>
    </row>
    <row r="11" spans="1:8" x14ac:dyDescent="0.35">
      <c r="A11" s="2" t="s">
        <v>55</v>
      </c>
      <c r="B11" s="2" t="s">
        <v>50</v>
      </c>
      <c r="C11" s="2" t="s">
        <v>56</v>
      </c>
      <c r="D11" s="2" t="s">
        <v>31</v>
      </c>
      <c r="E11" s="2" t="s">
        <v>32</v>
      </c>
      <c r="F11" s="2" t="s">
        <v>33</v>
      </c>
      <c r="G11" s="2" t="s">
        <v>52</v>
      </c>
      <c r="H11" s="2">
        <v>4</v>
      </c>
    </row>
    <row r="12" spans="1:8" x14ac:dyDescent="0.35">
      <c r="A12" s="2" t="s">
        <v>57</v>
      </c>
      <c r="B12" s="2" t="s">
        <v>58</v>
      </c>
      <c r="C12" s="2" t="s">
        <v>59</v>
      </c>
      <c r="D12" s="2" t="s">
        <v>31</v>
      </c>
      <c r="E12" s="2" t="s">
        <v>32</v>
      </c>
      <c r="F12" s="2" t="s">
        <v>33</v>
      </c>
      <c r="G12" s="2" t="s">
        <v>60</v>
      </c>
      <c r="H12" s="2">
        <v>1</v>
      </c>
    </row>
    <row r="13" spans="1:8" x14ac:dyDescent="0.35">
      <c r="A13" s="2" t="s">
        <v>61</v>
      </c>
      <c r="B13" s="2" t="s">
        <v>58</v>
      </c>
      <c r="C13" s="2" t="s">
        <v>62</v>
      </c>
      <c r="D13" s="2" t="s">
        <v>31</v>
      </c>
      <c r="E13" s="2" t="s">
        <v>32</v>
      </c>
      <c r="F13" s="2" t="s">
        <v>33</v>
      </c>
      <c r="G13" s="2" t="s">
        <v>60</v>
      </c>
      <c r="H13" s="2">
        <v>5</v>
      </c>
    </row>
    <row r="14" spans="1:8" x14ac:dyDescent="0.35">
      <c r="A14" s="2" t="s">
        <v>63</v>
      </c>
      <c r="B14" s="2" t="s">
        <v>58</v>
      </c>
      <c r="C14" s="2" t="s">
        <v>64</v>
      </c>
      <c r="D14" s="2" t="s">
        <v>31</v>
      </c>
      <c r="E14" s="2" t="s">
        <v>32</v>
      </c>
      <c r="F14" s="2" t="s">
        <v>33</v>
      </c>
      <c r="G14" s="2" t="s">
        <v>60</v>
      </c>
      <c r="H14" s="2">
        <v>1</v>
      </c>
    </row>
    <row r="15" spans="1:8" x14ac:dyDescent="0.35">
      <c r="A15" s="2" t="s">
        <v>65</v>
      </c>
      <c r="B15" s="2" t="s">
        <v>58</v>
      </c>
      <c r="C15" s="2" t="s">
        <v>66</v>
      </c>
      <c r="D15" s="2" t="s">
        <v>31</v>
      </c>
      <c r="E15" s="2" t="s">
        <v>32</v>
      </c>
      <c r="F15" s="2" t="s">
        <v>33</v>
      </c>
      <c r="G15" s="2" t="s">
        <v>60</v>
      </c>
      <c r="H15" s="2">
        <v>1</v>
      </c>
    </row>
    <row r="16" spans="1:8" x14ac:dyDescent="0.35">
      <c r="A16" s="2" t="s">
        <v>67</v>
      </c>
      <c r="B16" s="2" t="s">
        <v>58</v>
      </c>
      <c r="C16" s="2" t="s">
        <v>68</v>
      </c>
      <c r="D16" s="2" t="s">
        <v>31</v>
      </c>
      <c r="E16" s="2" t="s">
        <v>32</v>
      </c>
      <c r="F16" s="2" t="s">
        <v>33</v>
      </c>
      <c r="G16" s="2" t="s">
        <v>60</v>
      </c>
      <c r="H16" s="2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zoomScaleNormal="100" workbookViewId="0">
      <selection activeCell="B17" sqref="B17"/>
    </sheetView>
  </sheetViews>
  <sheetFormatPr defaultColWidth="8.6328125" defaultRowHeight="14.5" x14ac:dyDescent="0.35"/>
  <cols>
    <col min="1" max="1" width="25" customWidth="1"/>
    <col min="2" max="2" width="100" customWidth="1"/>
  </cols>
  <sheetData>
    <row r="1" spans="1:2" x14ac:dyDescent="0.35">
      <c r="A1" s="1" t="s">
        <v>69</v>
      </c>
      <c r="B1" s="1" t="s">
        <v>70</v>
      </c>
    </row>
    <row r="2" spans="1:2" x14ac:dyDescent="0.35">
      <c r="A2" s="5" t="s">
        <v>71</v>
      </c>
      <c r="B2" s="6" t="s">
        <v>72</v>
      </c>
    </row>
    <row r="3" spans="1:2" x14ac:dyDescent="0.35">
      <c r="A3" s="5" t="s">
        <v>73</v>
      </c>
      <c r="B3" s="6" t="s">
        <v>74</v>
      </c>
    </row>
    <row r="4" spans="1:2" ht="29" x14ac:dyDescent="0.35">
      <c r="A4" s="5" t="s">
        <v>75</v>
      </c>
      <c r="B4" s="6" t="s">
        <v>76</v>
      </c>
    </row>
    <row r="5" spans="1:2" ht="29" x14ac:dyDescent="0.35">
      <c r="A5" s="5" t="s">
        <v>77</v>
      </c>
      <c r="B5" s="6" t="s">
        <v>78</v>
      </c>
    </row>
    <row r="6" spans="1:2" x14ac:dyDescent="0.35">
      <c r="A6" s="5" t="s">
        <v>4</v>
      </c>
      <c r="B6" s="6" t="s">
        <v>79</v>
      </c>
    </row>
    <row r="7" spans="1:2" x14ac:dyDescent="0.35">
      <c r="A7" s="5" t="s">
        <v>80</v>
      </c>
      <c r="B7" s="6" t="s">
        <v>81</v>
      </c>
    </row>
    <row r="8" spans="1:2" x14ac:dyDescent="0.35">
      <c r="A8" s="5" t="s">
        <v>82</v>
      </c>
      <c r="B8" s="6" t="s">
        <v>83</v>
      </c>
    </row>
    <row r="9" spans="1:2" x14ac:dyDescent="0.35">
      <c r="A9" s="5" t="s">
        <v>84</v>
      </c>
      <c r="B9" s="6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3 Burndown</vt:lpstr>
      <vt:lpstr>Task Register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Imasha Ilamperuma</cp:lastModifiedBy>
  <cp:revision>1</cp:revision>
  <dcterms:created xsi:type="dcterms:W3CDTF">2026-09-24T14:34:04Z</dcterms:created>
  <dcterms:modified xsi:type="dcterms:W3CDTF">2026-09-24T15:06:23Z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6ac557-f879-4314-a0dd-31320f1fd83e_Enabled">
    <vt:lpwstr>true</vt:lpwstr>
  </property>
  <property fmtid="{D5CDD505-2E9C-101B-9397-08002B2CF9AE}" pid="3" name="MSIP_Label_956ac557-f879-4314-a0dd-31320f1fd83e_SetDate">
    <vt:lpwstr>2026-09-24T14:38:28Z</vt:lpwstr>
  </property>
  <property fmtid="{D5CDD505-2E9C-101B-9397-08002B2CF9AE}" pid="4" name="MSIP_Label_956ac557-f879-4314-a0dd-31320f1fd83e_Method">
    <vt:lpwstr>Standard</vt:lpwstr>
  </property>
  <property fmtid="{D5CDD505-2E9C-101B-9397-08002B2CF9AE}" pid="5" name="MSIP_Label_956ac557-f879-4314-a0dd-31320f1fd83e_Name">
    <vt:lpwstr>956ac557-f879-4314-a0dd-31320f1fd83e</vt:lpwstr>
  </property>
  <property fmtid="{D5CDD505-2E9C-101B-9397-08002B2CF9AE}" pid="6" name="MSIP_Label_956ac557-f879-4314-a0dd-31320f1fd83e_SiteId">
    <vt:lpwstr>97424943-93ed-421f-81ce-f245fd53a717</vt:lpwstr>
  </property>
  <property fmtid="{D5CDD505-2E9C-101B-9397-08002B2CF9AE}" pid="7" name="MSIP_Label_956ac557-f879-4314-a0dd-31320f1fd83e_ActionId">
    <vt:lpwstr>4b518f19-e496-42bb-bdcf-59b41d45a95d</vt:lpwstr>
  </property>
  <property fmtid="{D5CDD505-2E9C-101B-9397-08002B2CF9AE}" pid="8" name="MSIP_Label_956ac557-f879-4314-a0dd-31320f1fd83e_ContentBits">
    <vt:lpwstr>0</vt:lpwstr>
  </property>
  <property fmtid="{D5CDD505-2E9C-101B-9397-08002B2CF9AE}" pid="9" name="MSIP_Label_956ac557-f879-4314-a0dd-31320f1fd83e_Tag">
    <vt:lpwstr>10, 3, 0, 1</vt:lpwstr>
  </property>
</Properties>
</file>