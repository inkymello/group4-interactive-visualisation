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shai\Downloads\"/>
    </mc:Choice>
  </mc:AlternateContent>
  <xr:revisionPtr revIDLastSave="0" documentId="13_ncr:1_{597DF47C-5581-4B51-A67F-66A3D4C104D2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Sprint 5 Burndown" sheetId="1" r:id="rId1"/>
    <sheet name="Task Register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C8" i="1"/>
  <c r="E7" i="1"/>
  <c r="C7" i="1"/>
  <c r="E6" i="1"/>
  <c r="C6" i="1"/>
  <c r="E5" i="1"/>
  <c r="C5" i="1"/>
  <c r="E4" i="1"/>
  <c r="C4" i="1"/>
  <c r="E3" i="1"/>
  <c r="C3" i="1"/>
  <c r="C2" i="1"/>
  <c r="E2" i="1" s="1"/>
</calcChain>
</file>

<file path=xl/sharedStrings.xml><?xml version="1.0" encoding="utf-8"?>
<sst xmlns="http://schemas.openxmlformats.org/spreadsheetml/2006/main" count="186" uniqueCount="96">
  <si>
    <t>Day</t>
  </si>
  <si>
    <t>Date</t>
  </si>
  <si>
    <t>Planned Remaining</t>
  </si>
  <si>
    <t>Actual Remaining</t>
  </si>
  <si>
    <t>Completed Today</t>
  </si>
  <si>
    <t>Notes</t>
  </si>
  <si>
    <t>Day 0</t>
  </si>
  <si>
    <t>Sprint 5 starts (Meeting 05, 18 Oct 2026); 20 backlog items planned (S5-01 to S5-20). All items Not Started at kickoff, per Meeting 5 action items; no work closed on Day 0.</t>
  </si>
  <si>
    <t>Day 1</t>
  </si>
  <si>
    <t>Final UI review, chart-label and tooltip checks (S5-01, S5-02, S5-03) closed; due Day 1 per Meeting 5 sprint plan.</t>
  </si>
  <si>
    <t>Day 2</t>
  </si>
  <si>
    <t>Filter, Reset button and cross-chart interaction checks (S5-04, S5-05, S5-06) closed; due Day 2 per Meeting 5 sprint plan.</t>
  </si>
  <si>
    <t>Day 3</t>
  </si>
  <si>
    <t>Responsive layout check (S5-07) closed, completing the final website checks; due Day 3, alongside the mid-sprint checkpoint reviewing all website checks together.</t>
  </si>
  <si>
    <t>Day 4</t>
  </si>
  <si>
    <t>Ethical review closed: misleading-axes and calculation checks (S5-08, S5-09) and data-source attribution and limitations checks (S5-10, S5-11); due Day 4 per Meeting 5 sprint plan.</t>
  </si>
  <si>
    <t>Day 5</t>
  </si>
  <si>
    <t>Remaining documentation closed: Scrum, meeting minutes, testing, design rationale and design requirements documentation, and the README update (S5-12 to S5-17); due Day 5.</t>
  </si>
  <si>
    <t>Day 6</t>
  </si>
  <si>
    <t>Sprint end. GitHub repository check (S5-18) and final team review (S5-19) closed; due Day 6. Submission (S5-20) prepared immediately after. Sprint 5 Backlog fully Done (Product Backlog Sprint Task Log).</t>
  </si>
  <si>
    <t>ID</t>
  </si>
  <si>
    <t>Category</t>
  </si>
  <si>
    <t>Task</t>
  </si>
  <si>
    <t>Priority</t>
  </si>
  <si>
    <t>Initial Status</t>
  </si>
  <si>
    <t>Completed?</t>
  </si>
  <si>
    <t>Allocated</t>
  </si>
  <si>
    <t>Day Number</t>
  </si>
  <si>
    <t>S5-01</t>
  </si>
  <si>
    <t>Final Website</t>
  </si>
  <si>
    <t>Final UI review</t>
  </si>
  <si>
    <t>High</t>
  </si>
  <si>
    <t>To Do</t>
  </si>
  <si>
    <t>Yes</t>
  </si>
  <si>
    <t>Samarakoon</t>
  </si>
  <si>
    <t>S5-02</t>
  </si>
  <si>
    <t>Check chart labels</t>
  </si>
  <si>
    <t>S5-03</t>
  </si>
  <si>
    <t>Check tooltips</t>
  </si>
  <si>
    <t>S5-04</t>
  </si>
  <si>
    <t>Check filters</t>
  </si>
  <si>
    <t>Ilamperuma</t>
  </si>
  <si>
    <t>S5-05</t>
  </si>
  <si>
    <t>Check Reset button</t>
  </si>
  <si>
    <t>S5-06</t>
  </si>
  <si>
    <t>Check cross-chart interaction</t>
  </si>
  <si>
    <t>S5-07</t>
  </si>
  <si>
    <t>Check responsive layout</t>
  </si>
  <si>
    <t>De Silva</t>
  </si>
  <si>
    <t>S5-08</t>
  </si>
  <si>
    <t>Ethical Review</t>
  </si>
  <si>
    <t>Check for misleading axes</t>
  </si>
  <si>
    <t>S5-09</t>
  </si>
  <si>
    <t>Verify calculations</t>
  </si>
  <si>
    <t>S5-10</t>
  </si>
  <si>
    <t>Check data-source attribution</t>
  </si>
  <si>
    <t>S5-11</t>
  </si>
  <si>
    <t>Document limitations</t>
  </si>
  <si>
    <t>S5-12</t>
  </si>
  <si>
    <t>Documentation</t>
  </si>
  <si>
    <t>Complete Scrum documentation</t>
  </si>
  <si>
    <t>S5-13</t>
  </si>
  <si>
    <t>Complete meeting minutes</t>
  </si>
  <si>
    <t>S5-14</t>
  </si>
  <si>
    <t>Complete testing documentation</t>
  </si>
  <si>
    <t>S5-15</t>
  </si>
  <si>
    <t>Complete design rationale documentation</t>
  </si>
  <si>
    <t>S5-16</t>
  </si>
  <si>
    <t>Complete design requirements documentation</t>
  </si>
  <si>
    <t>S5-17</t>
  </si>
  <si>
    <t>Update README</t>
  </si>
  <si>
    <t>S5-18</t>
  </si>
  <si>
    <t>Final Review &amp; Submission</t>
  </si>
  <si>
    <t>Check GitHub repository</t>
  </si>
  <si>
    <t>S5-19</t>
  </si>
  <si>
    <t>Final team review</t>
  </si>
  <si>
    <t>All</t>
  </si>
  <si>
    <t>S5-20</t>
  </si>
  <si>
    <t>Prepare submission</t>
  </si>
  <si>
    <t>Item</t>
  </si>
  <si>
    <t>Instruction</t>
  </si>
  <si>
    <t>Purpose</t>
  </si>
  <si>
    <t>Use this workbook as Sprint 5 burndown evidence.</t>
  </si>
  <si>
    <t>Initial workload</t>
  </si>
  <si>
    <t>Sprint 5 contains 20 backlog items (S5-01 to S5-20), per the Product Backlog / Sprint Task Log.</t>
  </si>
  <si>
    <t>Day 0 starting point</t>
  </si>
  <si>
    <t>Day 0 (18 Oct 2026) reflects Meeting 05 (Sprint 5 kickoff): every Sprint 5 action item was recorded as Not Started, so all 20 items are open on Day 0 and none is closed at kickoff.</t>
  </si>
  <si>
    <t>Daily update</t>
  </si>
  <si>
    <t>At the end of each working day, count unchecked Sprint 5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</si>
  <si>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</si>
  <si>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</si>
  <si>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</si>
  <si>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</si>
  <si>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and actual lines both update automatically from the table.</t>
  </si>
  <si>
    <t>Evidence</t>
  </si>
  <si>
    <t>Keep dated Trello screenshots or board history if your lecturer requires progress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</si>
</sst>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5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5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5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5 Burndown'!$C$2:$C$8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F-4669-BFA5-BC08F7CEF6DA}"/>
            </c:ext>
          </c:extLst>
        </c:ser>
        <c:ser>
          <c:idx val="1"/>
          <c:order val="1"/>
          <c:tx>
            <c:strRef>
              <c:f>'Sprint 5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5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5 Burndown'!$D$2:$D$8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F-4669-BFA5-BC08F7CEF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561113"/>
        <c:axId val="15115050"/>
      </c:lineChart>
      <c:catAx>
        <c:axId val="81561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15050"/>
        <c:crosses val="autoZero"/>
        <c:auto val="1"/>
        <c:lblAlgn val="ctr"/>
        <c:lblOffset val="100"/>
        <c:noMultiLvlLbl val="0"/>
      </c:catAx>
      <c:valAx>
        <c:axId val="15115050"/>
        <c:scaling>
          <c:orientation val="minMax"/>
          <c:max val="2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6111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3634920</xdr:colOff>
      <xdr:row>26</xdr:row>
      <xdr:rowOff>181080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18" customWidth="1"/>
    <col min="5" max="5" width="17" customWidth="1"/>
    <col min="6" max="6" width="65" customWidth="1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2" t="s">
        <v>6</v>
      </c>
      <c r="B2" s="3">
        <v>46313</v>
      </c>
      <c r="C2" s="2">
        <f>ROUND(COUNTA('Task Register'!$A$2:$A$21)*(1-0/6),0)</f>
        <v>20</v>
      </c>
      <c r="D2" s="2">
        <v>20</v>
      </c>
      <c r="E2" s="2">
        <f>IF(OR(D2=""),"",C2-D2)</f>
        <v>0</v>
      </c>
      <c r="F2" s="2" t="s">
        <v>7</v>
      </c>
    </row>
    <row r="3" spans="1:6" ht="15" customHeight="1" x14ac:dyDescent="0.35">
      <c r="A3" s="2" t="s">
        <v>8</v>
      </c>
      <c r="B3" s="3">
        <v>46314</v>
      </c>
      <c r="C3" s="2">
        <f>ROUND(COUNTA('Task Register'!$A$2:$A$21)*(1-1/6),0)</f>
        <v>17</v>
      </c>
      <c r="D3" s="4">
        <v>17</v>
      </c>
      <c r="E3" s="2">
        <f t="shared" ref="E3:E8" si="0">IF(OR(D3="",D2=""),"",D2-D3)</f>
        <v>3</v>
      </c>
      <c r="F3" s="2" t="s">
        <v>9</v>
      </c>
    </row>
    <row r="4" spans="1:6" ht="15" customHeight="1" x14ac:dyDescent="0.35">
      <c r="A4" s="2" t="s">
        <v>10</v>
      </c>
      <c r="B4" s="3">
        <v>46315</v>
      </c>
      <c r="C4" s="2">
        <f>ROUND(COUNTA('Task Register'!$A$2:$A$21)*(1-2/6),0)</f>
        <v>13</v>
      </c>
      <c r="D4" s="4">
        <v>14</v>
      </c>
      <c r="E4" s="2">
        <f t="shared" si="0"/>
        <v>3</v>
      </c>
      <c r="F4" s="2" t="s">
        <v>11</v>
      </c>
    </row>
    <row r="5" spans="1:6" ht="15" customHeight="1" x14ac:dyDescent="0.35">
      <c r="A5" s="2" t="s">
        <v>12</v>
      </c>
      <c r="B5" s="3">
        <v>46316</v>
      </c>
      <c r="C5" s="2">
        <f>ROUND(COUNTA('Task Register'!$A$2:$A$21)*(1-3/6),0)</f>
        <v>10</v>
      </c>
      <c r="D5" s="4">
        <v>13</v>
      </c>
      <c r="E5" s="2">
        <f t="shared" si="0"/>
        <v>1</v>
      </c>
      <c r="F5" s="2" t="s">
        <v>13</v>
      </c>
    </row>
    <row r="6" spans="1:6" ht="15" customHeight="1" x14ac:dyDescent="0.35">
      <c r="A6" s="2" t="s">
        <v>14</v>
      </c>
      <c r="B6" s="3">
        <v>46317</v>
      </c>
      <c r="C6" s="2">
        <f>ROUND(COUNTA('Task Register'!$A$2:$A$21)*(1-4/6),0)</f>
        <v>7</v>
      </c>
      <c r="D6" s="4">
        <v>9</v>
      </c>
      <c r="E6" s="2">
        <f t="shared" si="0"/>
        <v>4</v>
      </c>
      <c r="F6" s="2" t="s">
        <v>15</v>
      </c>
    </row>
    <row r="7" spans="1:6" ht="15" customHeight="1" x14ac:dyDescent="0.35">
      <c r="A7" s="2" t="s">
        <v>16</v>
      </c>
      <c r="B7" s="3">
        <v>46318</v>
      </c>
      <c r="C7" s="2">
        <f>ROUND(COUNTA('Task Register'!$A$2:$A$21)*(1-5/6),0)</f>
        <v>3</v>
      </c>
      <c r="D7" s="4">
        <v>3</v>
      </c>
      <c r="E7" s="2">
        <f t="shared" si="0"/>
        <v>6</v>
      </c>
      <c r="F7" s="2" t="s">
        <v>17</v>
      </c>
    </row>
    <row r="8" spans="1:6" ht="15" customHeight="1" x14ac:dyDescent="0.35">
      <c r="A8" s="2" t="s">
        <v>18</v>
      </c>
      <c r="B8" s="3">
        <v>46319</v>
      </c>
      <c r="C8" s="2">
        <f>ROUND(COUNTA('Task Register'!$A$2:$A$21)*(1-6/6),0)</f>
        <v>0</v>
      </c>
      <c r="D8" s="4">
        <v>0</v>
      </c>
      <c r="E8" s="2">
        <f t="shared" si="0"/>
        <v>3</v>
      </c>
      <c r="F8" s="2" t="s">
        <v>19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38" customWidth="1"/>
    <col min="4" max="4" width="12" customWidth="1"/>
    <col min="5" max="5" width="14" customWidth="1"/>
    <col min="6" max="6" width="12" customWidth="1"/>
    <col min="7" max="7" width="14" customWidth="1"/>
    <col min="8" max="8" width="11.453125" customWidth="1"/>
  </cols>
  <sheetData>
    <row r="1" spans="1:8" ht="15" customHeigh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5" customHeight="1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</v>
      </c>
    </row>
    <row r="3" spans="1:8" ht="15" customHeight="1" x14ac:dyDescent="0.35">
      <c r="A3" s="2" t="s">
        <v>35</v>
      </c>
      <c r="B3" s="2" t="s">
        <v>29</v>
      </c>
      <c r="C3" s="2" t="s">
        <v>36</v>
      </c>
      <c r="D3" s="2" t="s">
        <v>31</v>
      </c>
      <c r="E3" s="2" t="s">
        <v>32</v>
      </c>
      <c r="F3" s="2" t="s">
        <v>33</v>
      </c>
      <c r="G3" s="2" t="s">
        <v>34</v>
      </c>
      <c r="H3" s="2">
        <v>1</v>
      </c>
    </row>
    <row r="4" spans="1:8" ht="15" customHeight="1" x14ac:dyDescent="0.35">
      <c r="A4" s="2" t="s">
        <v>37</v>
      </c>
      <c r="B4" s="2" t="s">
        <v>29</v>
      </c>
      <c r="C4" s="2" t="s">
        <v>38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1</v>
      </c>
    </row>
    <row r="5" spans="1:8" ht="15" customHeight="1" x14ac:dyDescent="0.35">
      <c r="A5" s="2" t="s">
        <v>39</v>
      </c>
      <c r="B5" s="2" t="s">
        <v>29</v>
      </c>
      <c r="C5" s="2" t="s">
        <v>40</v>
      </c>
      <c r="D5" s="2" t="s">
        <v>31</v>
      </c>
      <c r="E5" s="2" t="s">
        <v>32</v>
      </c>
      <c r="F5" s="2" t="s">
        <v>33</v>
      </c>
      <c r="G5" s="2" t="s">
        <v>41</v>
      </c>
      <c r="H5" s="2">
        <v>2</v>
      </c>
    </row>
    <row r="6" spans="1:8" ht="15" customHeight="1" x14ac:dyDescent="0.35">
      <c r="A6" s="2" t="s">
        <v>42</v>
      </c>
      <c r="B6" s="2" t="s">
        <v>29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41</v>
      </c>
      <c r="H6" s="2">
        <v>2</v>
      </c>
    </row>
    <row r="7" spans="1:8" ht="15" customHeight="1" x14ac:dyDescent="0.35">
      <c r="A7" s="2" t="s">
        <v>44</v>
      </c>
      <c r="B7" s="2" t="s">
        <v>29</v>
      </c>
      <c r="C7" s="2" t="s">
        <v>45</v>
      </c>
      <c r="D7" s="2" t="s">
        <v>31</v>
      </c>
      <c r="E7" s="2" t="s">
        <v>32</v>
      </c>
      <c r="F7" s="2" t="s">
        <v>33</v>
      </c>
      <c r="G7" s="2" t="s">
        <v>41</v>
      </c>
      <c r="H7" s="2">
        <v>2</v>
      </c>
    </row>
    <row r="8" spans="1:8" ht="15" customHeight="1" x14ac:dyDescent="0.35">
      <c r="A8" s="2" t="s">
        <v>46</v>
      </c>
      <c r="B8" s="2" t="s">
        <v>29</v>
      </c>
      <c r="C8" s="2" t="s">
        <v>47</v>
      </c>
      <c r="D8" s="2" t="s">
        <v>31</v>
      </c>
      <c r="E8" s="2" t="s">
        <v>32</v>
      </c>
      <c r="F8" s="2" t="s">
        <v>33</v>
      </c>
      <c r="G8" s="2" t="s">
        <v>48</v>
      </c>
      <c r="H8" s="2">
        <v>3</v>
      </c>
    </row>
    <row r="9" spans="1:8" ht="15" customHeight="1" x14ac:dyDescent="0.35">
      <c r="A9" s="2" t="s">
        <v>49</v>
      </c>
      <c r="B9" s="2" t="s">
        <v>50</v>
      </c>
      <c r="C9" s="2" t="s">
        <v>51</v>
      </c>
      <c r="D9" s="2" t="s">
        <v>31</v>
      </c>
      <c r="E9" s="2" t="s">
        <v>32</v>
      </c>
      <c r="F9" s="2" t="s">
        <v>33</v>
      </c>
      <c r="G9" s="2" t="s">
        <v>34</v>
      </c>
      <c r="H9" s="2">
        <v>4</v>
      </c>
    </row>
    <row r="10" spans="1:8" ht="15" customHeight="1" x14ac:dyDescent="0.35">
      <c r="A10" s="2" t="s">
        <v>52</v>
      </c>
      <c r="B10" s="2" t="s">
        <v>50</v>
      </c>
      <c r="C10" s="2" t="s">
        <v>53</v>
      </c>
      <c r="D10" s="2" t="s">
        <v>31</v>
      </c>
      <c r="E10" s="2" t="s">
        <v>32</v>
      </c>
      <c r="F10" s="2" t="s">
        <v>33</v>
      </c>
      <c r="G10" s="2" t="s">
        <v>34</v>
      </c>
      <c r="H10" s="2">
        <v>4</v>
      </c>
    </row>
    <row r="11" spans="1:8" ht="15" customHeight="1" x14ac:dyDescent="0.35">
      <c r="A11" s="2" t="s">
        <v>54</v>
      </c>
      <c r="B11" s="2" t="s">
        <v>50</v>
      </c>
      <c r="C11" s="2" t="s">
        <v>55</v>
      </c>
      <c r="D11" s="2" t="s">
        <v>31</v>
      </c>
      <c r="E11" s="2" t="s">
        <v>32</v>
      </c>
      <c r="F11" s="2" t="s">
        <v>33</v>
      </c>
      <c r="G11" s="2" t="s">
        <v>48</v>
      </c>
      <c r="H11" s="2">
        <v>4</v>
      </c>
    </row>
    <row r="12" spans="1:8" ht="15" customHeight="1" x14ac:dyDescent="0.35">
      <c r="A12" s="2" t="s">
        <v>56</v>
      </c>
      <c r="B12" s="2" t="s">
        <v>50</v>
      </c>
      <c r="C12" s="2" t="s">
        <v>57</v>
      </c>
      <c r="D12" s="2" t="s">
        <v>31</v>
      </c>
      <c r="E12" s="2" t="s">
        <v>32</v>
      </c>
      <c r="F12" s="2" t="s">
        <v>33</v>
      </c>
      <c r="G12" s="2" t="s">
        <v>48</v>
      </c>
      <c r="H12" s="2">
        <v>4</v>
      </c>
    </row>
    <row r="13" spans="1:8" ht="15" customHeight="1" x14ac:dyDescent="0.35">
      <c r="A13" s="2" t="s">
        <v>58</v>
      </c>
      <c r="B13" s="2" t="s">
        <v>59</v>
      </c>
      <c r="C13" s="2" t="s">
        <v>60</v>
      </c>
      <c r="D13" s="2" t="s">
        <v>31</v>
      </c>
      <c r="E13" s="2" t="s">
        <v>32</v>
      </c>
      <c r="F13" s="2" t="s">
        <v>33</v>
      </c>
      <c r="G13" s="2" t="s">
        <v>41</v>
      </c>
      <c r="H13" s="2">
        <v>5</v>
      </c>
    </row>
    <row r="14" spans="1:8" ht="15" customHeight="1" x14ac:dyDescent="0.35">
      <c r="A14" s="2" t="s">
        <v>61</v>
      </c>
      <c r="B14" s="2" t="s">
        <v>59</v>
      </c>
      <c r="C14" s="2" t="s">
        <v>62</v>
      </c>
      <c r="D14" s="2" t="s">
        <v>31</v>
      </c>
      <c r="E14" s="2" t="s">
        <v>32</v>
      </c>
      <c r="F14" s="2" t="s">
        <v>33</v>
      </c>
      <c r="G14" s="2" t="s">
        <v>41</v>
      </c>
      <c r="H14" s="2">
        <v>5</v>
      </c>
    </row>
    <row r="15" spans="1:8" ht="15" customHeight="1" x14ac:dyDescent="0.35">
      <c r="A15" s="2" t="s">
        <v>63</v>
      </c>
      <c r="B15" s="2" t="s">
        <v>59</v>
      </c>
      <c r="C15" s="2" t="s">
        <v>64</v>
      </c>
      <c r="D15" s="2" t="s">
        <v>31</v>
      </c>
      <c r="E15" s="2" t="s">
        <v>32</v>
      </c>
      <c r="F15" s="2" t="s">
        <v>33</v>
      </c>
      <c r="G15" s="2" t="s">
        <v>41</v>
      </c>
      <c r="H15" s="2">
        <v>5</v>
      </c>
    </row>
    <row r="16" spans="1:8" ht="15" customHeight="1" x14ac:dyDescent="0.35">
      <c r="A16" s="2" t="s">
        <v>65</v>
      </c>
      <c r="B16" s="2" t="s">
        <v>59</v>
      </c>
      <c r="C16" s="2" t="s">
        <v>66</v>
      </c>
      <c r="D16" s="2" t="s">
        <v>31</v>
      </c>
      <c r="E16" s="2" t="s">
        <v>32</v>
      </c>
      <c r="F16" s="2" t="s">
        <v>33</v>
      </c>
      <c r="G16" s="2" t="s">
        <v>41</v>
      </c>
      <c r="H16" s="2">
        <v>5</v>
      </c>
    </row>
    <row r="17" spans="1:8" ht="15" customHeight="1" x14ac:dyDescent="0.35">
      <c r="A17" s="2" t="s">
        <v>67</v>
      </c>
      <c r="B17" s="2" t="s">
        <v>59</v>
      </c>
      <c r="C17" s="2" t="s">
        <v>68</v>
      </c>
      <c r="D17" s="2" t="s">
        <v>31</v>
      </c>
      <c r="E17" s="2" t="s">
        <v>32</v>
      </c>
      <c r="F17" s="2" t="s">
        <v>33</v>
      </c>
      <c r="G17" s="2" t="s">
        <v>41</v>
      </c>
      <c r="H17" s="2">
        <v>5</v>
      </c>
    </row>
    <row r="18" spans="1:8" ht="15" customHeight="1" x14ac:dyDescent="0.35">
      <c r="A18" s="2" t="s">
        <v>69</v>
      </c>
      <c r="B18" s="2" t="s">
        <v>59</v>
      </c>
      <c r="C18" s="2" t="s">
        <v>70</v>
      </c>
      <c r="D18" s="2" t="s">
        <v>31</v>
      </c>
      <c r="E18" s="2" t="s">
        <v>32</v>
      </c>
      <c r="F18" s="2" t="s">
        <v>33</v>
      </c>
      <c r="G18" s="2" t="s">
        <v>41</v>
      </c>
      <c r="H18" s="2">
        <v>5</v>
      </c>
    </row>
    <row r="19" spans="1:8" ht="15" customHeight="1" x14ac:dyDescent="0.35">
      <c r="A19" s="2" t="s">
        <v>71</v>
      </c>
      <c r="B19" s="2" t="s">
        <v>72</v>
      </c>
      <c r="C19" s="2" t="s">
        <v>73</v>
      </c>
      <c r="D19" s="2" t="s">
        <v>31</v>
      </c>
      <c r="E19" s="2" t="s">
        <v>32</v>
      </c>
      <c r="F19" s="2" t="s">
        <v>33</v>
      </c>
      <c r="G19" s="2" t="s">
        <v>41</v>
      </c>
      <c r="H19" s="2">
        <v>6</v>
      </c>
    </row>
    <row r="20" spans="1:8" ht="15" customHeight="1" x14ac:dyDescent="0.35">
      <c r="A20" s="2" t="s">
        <v>74</v>
      </c>
      <c r="B20" s="2" t="s">
        <v>72</v>
      </c>
      <c r="C20" s="2" t="s">
        <v>75</v>
      </c>
      <c r="D20" s="2" t="s">
        <v>31</v>
      </c>
      <c r="E20" s="2" t="s">
        <v>32</v>
      </c>
      <c r="F20" s="2" t="s">
        <v>33</v>
      </c>
      <c r="G20" s="2" t="s">
        <v>76</v>
      </c>
      <c r="H20" s="2">
        <v>6</v>
      </c>
    </row>
    <row r="21" spans="1:8" ht="15" customHeight="1" x14ac:dyDescent="0.35">
      <c r="A21" s="2" t="s">
        <v>77</v>
      </c>
      <c r="B21" s="2" t="s">
        <v>72</v>
      </c>
      <c r="C21" s="2" t="s">
        <v>78</v>
      </c>
      <c r="D21" s="2" t="s">
        <v>31</v>
      </c>
      <c r="E21" s="2" t="s">
        <v>32</v>
      </c>
      <c r="F21" s="2" t="s">
        <v>33</v>
      </c>
      <c r="G21" s="2" t="s">
        <v>76</v>
      </c>
      <c r="H21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zoomScaleNormal="100" workbookViewId="0">
      <selection activeCell="A16" sqref="A16"/>
    </sheetView>
  </sheetViews>
  <sheetFormatPr defaultColWidth="8.6328125" defaultRowHeight="14.5" x14ac:dyDescent="0.35"/>
  <cols>
    <col min="1" max="1" width="25" customWidth="1"/>
    <col min="2" max="2" width="100" customWidth="1"/>
  </cols>
  <sheetData>
    <row r="1" spans="1:2" ht="15" customHeight="1" x14ac:dyDescent="0.35">
      <c r="A1" s="1" t="s">
        <v>79</v>
      </c>
      <c r="B1" s="1" t="s">
        <v>80</v>
      </c>
    </row>
    <row r="2" spans="1:2" ht="15" customHeight="1" x14ac:dyDescent="0.35">
      <c r="A2" s="5" t="s">
        <v>81</v>
      </c>
      <c r="B2" s="6" t="s">
        <v>82</v>
      </c>
    </row>
    <row r="3" spans="1:2" ht="15" customHeight="1" x14ac:dyDescent="0.35">
      <c r="A3" s="5" t="s">
        <v>83</v>
      </c>
      <c r="B3" s="6" t="s">
        <v>84</v>
      </c>
    </row>
    <row r="4" spans="1:2" ht="27.75" customHeight="1" x14ac:dyDescent="0.35">
      <c r="A4" s="5" t="s">
        <v>85</v>
      </c>
      <c r="B4" s="6" t="s">
        <v>86</v>
      </c>
    </row>
    <row r="5" spans="1:2" ht="27.75" customHeight="1" x14ac:dyDescent="0.35">
      <c r="A5" s="5" t="s">
        <v>87</v>
      </c>
      <c r="B5" s="6" t="s">
        <v>88</v>
      </c>
    </row>
    <row r="6" spans="1:2" ht="15" customHeight="1" x14ac:dyDescent="0.35">
      <c r="A6" s="5" t="s">
        <v>4</v>
      </c>
      <c r="B6" s="6" t="s">
        <v>89</v>
      </c>
    </row>
    <row r="7" spans="1:2" ht="15" customHeight="1" x14ac:dyDescent="0.35">
      <c r="A7" s="5" t="s">
        <v>90</v>
      </c>
      <c r="B7" s="6" t="s">
        <v>91</v>
      </c>
    </row>
    <row r="8" spans="1:2" ht="15" customHeight="1" x14ac:dyDescent="0.35">
      <c r="A8" s="5" t="s">
        <v>92</v>
      </c>
      <c r="B8" s="6" t="s">
        <v>93</v>
      </c>
    </row>
    <row r="9" spans="1:2" ht="15" customHeight="1" x14ac:dyDescent="0.35">
      <c r="A9" s="5" t="s">
        <v>94</v>
      </c>
      <c r="B9" s="6" t="s">
        <v>95</v>
      </c>
    </row>
    <row r="10" spans="1:2" ht="17" customHeight="1" x14ac:dyDescent="0.35">
      <c r="A10" s="5"/>
      <c r="B10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5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2</cp:revision>
  <dcterms:created xsi:type="dcterms:W3CDTF">2026-09-29T05:25:05Z</dcterms:created>
  <dcterms:modified xsi:type="dcterms:W3CDTF">2026-09-29T05:29:48Z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2026-09-29T05:28:54Z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4826d971-6efd-42f1-8692-bce663c23f08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