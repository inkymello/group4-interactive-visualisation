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mashai\Downloads\"/>
    </mc:Choice>
  </mc:AlternateContent>
  <xr:revisionPtr revIDLastSave="0" documentId="13_ncr:1_{89DB0B44-223D-42E7-B2CE-4B8DE532C228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Heatmap" sheetId="1" r:id="rId1"/>
    <sheet name="Store Map Data" sheetId="2" r:id="rId2"/>
    <sheet name="Heatmap Data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9" i="1" l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H3" i="1"/>
  <c r="F3" i="1"/>
  <c r="D3" i="1"/>
  <c r="B3" i="1"/>
  <c r="F17" i="1" l="1"/>
  <c r="F16" i="1"/>
</calcChain>
</file>

<file path=xl/sharedStrings.xml><?xml version="1.0" encoding="utf-8"?>
<sst xmlns="http://schemas.openxmlformats.org/spreadsheetml/2006/main" count="41" uniqueCount="41">
  <si>
    <t>REVENUE</t>
  </si>
  <si>
    <t>TRANSACTIONS</t>
  </si>
  <si>
    <t>UNITS SOLD</t>
  </si>
  <si>
    <t>PER TRANSACTION</t>
  </si>
  <si>
    <t>When the queue forms — transactions by day &amp; hour</t>
  </si>
  <si>
    <t>Day</t>
  </si>
  <si>
    <t>6:00</t>
  </si>
  <si>
    <t>7:00</t>
  </si>
  <si>
    <t>8:00</t>
  </si>
  <si>
    <t>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</si>
  <si>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</si>
  <si>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</si>
  <si>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</si>
  <si>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</si>
  <si>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</si>
  <si>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</si>
  <si>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</si>
  <si>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</si>
  <si>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</si>
  <si>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</si>
  <si>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</si>
  <si>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Busiest hour (sum across all days):</t>
  </si>
  <si>
    <t>Hour totals -&gt;</t>
  </si>
  <si>
    <t>store_id</t>
  </si>
  <si>
    <t>store_location</t>
  </si>
  <si>
    <t>latitude</t>
  </si>
  <si>
    <t>longitude</t>
  </si>
  <si>
    <t>transactions</t>
  </si>
  <si>
    <t>quantity_sold</t>
  </si>
  <si>
    <t>revenue</t>
  </si>
  <si>
    <t>Astoria</t>
  </si>
  <si>
    <t>Lower Manhattan</t>
  </si>
  <si>
    <t>Hell's Kitchen</t>
  </si>
  <si>
    <t>day_of_week</t>
  </si>
  <si>
    <t>Monday</t>
  </si>
  <si>
    <t>Tuesday</t>
  </si>
  <si>
    <t>Wednesday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</si>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</sst>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\$#,##0.00"/>
    <numFmt numFmtId="166" formatCode="#,##0&quot; transactions&quot;"/>
  </numFmts>
  <fonts count="11" x14ac:knownFonts="1">
    <font>
      <sz val="11"/>
      <color theme="1"/>
      <name val="Calibri"/>
      <family val="2"/>
      <charset val="1"/>
    </font>
    <font>
      <b/>
      <sz val="9"/>
      <color rgb="FF6B6058"/>
      <name val="Arial"/>
      <family val="2"/>
    </font>
    <font>
      <b/>
      <sz val="16"/>
      <color rgb="FF2A2320"/>
      <name val="Arial"/>
      <family val="2"/>
    </font>
    <font>
      <b/>
      <sz val="13"/>
      <color rgb="FFB06A2C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12"/>
      <color rgb="FFB06A2C"/>
      <name val="Arial"/>
      <family val="2"/>
    </font>
    <font>
      <sz val="9"/>
      <color rgb="FF6B6058"/>
      <name val="Arial"/>
      <family val="2"/>
    </font>
    <font>
      <i/>
      <sz val="8"/>
      <color rgb="FF999999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7EC"/>
        <bgColor rgb="FFFFFFCC"/>
      </patternFill>
    </fill>
  </fills>
  <borders count="2">
    <border>
      <left/>
      <right/>
      <top/>
      <bottom/>
      <diagonal/>
    </border>
    <border>
      <left style="thin">
        <color rgb="FFE6DDCE"/>
      </left>
      <right style="thin">
        <color rgb="FFE6DDCE"/>
      </right>
      <top style="thin">
        <color rgb="FFE6DDCE"/>
      </top>
      <bottom style="thin">
        <color rgb="FFE6DDCE"/>
      </bottom>
      <diagonal/>
    </border>
  </borders>
  <cellStyleXfs count="1">
    <xf numFmtId="0" fontId="0" fillId="0" borderId="0"/>
  </cellStyleXfs>
  <cellXfs count="14">
    <xf numFmtId="0" fontId="0" fillId="0" borderId="0" xfId="0"/>
    <xf numFmtId="165" fontId="2" fillId="2" borderId="1" xfId="0" applyNumberFormat="1" applyFont="1" applyFill="1" applyBorder="1"/>
    <xf numFmtId="3" fontId="2" fillId="2" borderId="1" xfId="0" applyNumberFormat="1" applyFont="1" applyFill="1" applyBorder="1"/>
    <xf numFmtId="164" fontId="2" fillId="2" borderId="1" xfId="0" applyNumberFormat="1" applyFont="1" applyFill="1" applyBorder="1"/>
    <xf numFmtId="0" fontId="1" fillId="2" borderId="1" xfId="0" applyFont="1" applyFill="1" applyBorder="1"/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166" fontId="8" fillId="0" borderId="0" xfId="0" applyNumberFormat="1" applyFont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7E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06A2C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DD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058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2A232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19"/>
  <sheetViews>
    <sheetView showGridLines="0" tabSelected="1" zoomScaleNormal="100" workbookViewId="0">
      <selection activeCell="F20" sqref="F20"/>
    </sheetView>
  </sheetViews>
  <sheetFormatPr defaultColWidth="8.6328125" defaultRowHeight="14.5" x14ac:dyDescent="0.35"/>
  <cols>
    <col min="2" max="5" width="8" customWidth="1"/>
    <col min="6" max="6" width="15.1796875" bestFit="1" customWidth="1"/>
    <col min="7" max="17" width="8" customWidth="1"/>
  </cols>
  <sheetData>
    <row r="2" spans="2:17" ht="15.75" customHeight="1" x14ac:dyDescent="0.35">
      <c r="B2" s="4" t="s">
        <v>0</v>
      </c>
      <c r="C2" s="4"/>
      <c r="D2" s="4" t="s">
        <v>1</v>
      </c>
      <c r="E2" s="4"/>
      <c r="F2" s="4" t="s">
        <v>2</v>
      </c>
      <c r="G2" s="4"/>
      <c r="H2" s="4" t="s">
        <v>3</v>
      </c>
      <c r="I2" s="4"/>
    </row>
    <row r="3" spans="2:17" ht="25.5" customHeight="1" x14ac:dyDescent="0.4">
      <c r="B3" s="3">
        <f>SUM('Store Map Data'!G2:G4)</f>
        <v>698812.33000000007</v>
      </c>
      <c r="C3" s="3"/>
      <c r="D3" s="2">
        <f>SUM('Store Map Data'!E2:E4)</f>
        <v>149116</v>
      </c>
      <c r="E3" s="2"/>
      <c r="F3" s="2">
        <f>SUM('Store Map Data'!F2:F4)</f>
        <v>214470</v>
      </c>
      <c r="G3" s="2"/>
      <c r="H3" s="1">
        <f>SUM('Store Map Data'!G2:G4)/SUM('Store Map Data'!E2:E4)</f>
        <v>4.6863671906435265</v>
      </c>
      <c r="I3" s="1"/>
    </row>
    <row r="5" spans="2:17" ht="16.5" x14ac:dyDescent="0.35">
      <c r="B5" s="5" t="s">
        <v>4</v>
      </c>
    </row>
    <row r="7" spans="2:17" x14ac:dyDescent="0.35">
      <c r="B7" s="6" t="s">
        <v>5</v>
      </c>
      <c r="C7" s="6" t="s">
        <v>6</v>
      </c>
      <c r="D7" s="6" t="s">
        <v>7</v>
      </c>
      <c r="E7" s="6" t="s">
        <v>8</v>
      </c>
      <c r="F7" s="6" t="s">
        <v>9</v>
      </c>
      <c r="G7" s="6" t="s">
        <v>10</v>
      </c>
      <c r="H7" s="6" t="s">
        <v>11</v>
      </c>
      <c r="I7" s="6" t="s">
        <v>12</v>
      </c>
      <c r="J7" s="6" t="s">
        <v>13</v>
      </c>
      <c r="K7" s="6" t="s">
        <v>14</v>
      </c>
      <c r="L7" s="6" t="s">
        <v>15</v>
      </c>
      <c r="M7" s="6" t="s">
        <v>16</v>
      </c>
      <c r="N7" s="6" t="s">
        <v>17</v>
      </c>
      <c r="O7" s="6" t="s">
        <v>18</v>
      </c>
      <c r="P7" s="6" t="s">
        <v>19</v>
      </c>
      <c r="Q7" s="6" t="s">
        <v>20</v>
      </c>
    </row>
    <row r="8" spans="2:17" x14ac:dyDescent="0.35">
      <c r="B8" s="7" t="str">
        <f>'Heatmap Data'!A2</f>
        <v>Monday</v>
      </c>
      <c r="C8" s="8">
        <f>'Heatmap Data'!B2</f>
        <v>661</v>
      </c>
      <c r="D8" s="8">
        <f>'Heatmap Data'!C2</f>
        <v>1992</v>
      </c>
      <c r="E8" s="8">
        <f>'Heatmap Data'!D2</f>
        <v>2482</v>
      </c>
      <c r="F8" s="8">
        <f>'Heatmap Data'!E2</f>
        <v>2494</v>
      </c>
      <c r="G8" s="8">
        <f>'Heatmap Data'!F2</f>
        <v>2612</v>
      </c>
      <c r="H8" s="8">
        <f>'Heatmap Data'!G2</f>
        <v>1478</v>
      </c>
      <c r="I8" s="8">
        <f>'Heatmap Data'!H2</f>
        <v>1308</v>
      </c>
      <c r="J8" s="8">
        <f>'Heatmap Data'!I2</f>
        <v>1267</v>
      </c>
      <c r="K8" s="8">
        <f>'Heatmap Data'!J2</f>
        <v>1376</v>
      </c>
      <c r="L8" s="8">
        <f>'Heatmap Data'!K2</f>
        <v>1319</v>
      </c>
      <c r="M8" s="8">
        <f>'Heatmap Data'!L2</f>
        <v>1355</v>
      </c>
      <c r="N8" s="8">
        <f>'Heatmap Data'!M2</f>
        <v>1302</v>
      </c>
      <c r="O8" s="8">
        <f>'Heatmap Data'!N2</f>
        <v>1077</v>
      </c>
      <c r="P8" s="8">
        <f>'Heatmap Data'!O2</f>
        <v>846</v>
      </c>
      <c r="Q8" s="8">
        <f>'Heatmap Data'!P2</f>
        <v>74</v>
      </c>
    </row>
    <row r="9" spans="2:17" x14ac:dyDescent="0.35">
      <c r="B9" s="7" t="str">
        <f>'Heatmap Data'!A3</f>
        <v>Tuesday</v>
      </c>
      <c r="C9" s="8">
        <f>'Heatmap Data'!B3</f>
        <v>489</v>
      </c>
      <c r="D9" s="8">
        <f>'Heatmap Data'!C3</f>
        <v>1846</v>
      </c>
      <c r="E9" s="8">
        <f>'Heatmap Data'!D3</f>
        <v>2783</v>
      </c>
      <c r="F9" s="8">
        <f>'Heatmap Data'!E3</f>
        <v>2753</v>
      </c>
      <c r="G9" s="8">
        <f>'Heatmap Data'!F3</f>
        <v>2846</v>
      </c>
      <c r="H9" s="8">
        <f>'Heatmap Data'!G3</f>
        <v>1301</v>
      </c>
      <c r="I9" s="8">
        <f>'Heatmap Data'!H3</f>
        <v>1126</v>
      </c>
      <c r="J9" s="8">
        <f>'Heatmap Data'!I3</f>
        <v>1152</v>
      </c>
      <c r="K9" s="8">
        <f>'Heatmap Data'!J3</f>
        <v>1224</v>
      </c>
      <c r="L9" s="8">
        <f>'Heatmap Data'!K3</f>
        <v>1254</v>
      </c>
      <c r="M9" s="8">
        <f>'Heatmap Data'!L3</f>
        <v>1227</v>
      </c>
      <c r="N9" s="8">
        <f>'Heatmap Data'!M3</f>
        <v>1232</v>
      </c>
      <c r="O9" s="8">
        <f>'Heatmap Data'!N3</f>
        <v>957</v>
      </c>
      <c r="P9" s="8">
        <f>'Heatmap Data'!O3</f>
        <v>872</v>
      </c>
      <c r="Q9" s="8">
        <f>'Heatmap Data'!P3</f>
        <v>140</v>
      </c>
    </row>
    <row r="10" spans="2:17" x14ac:dyDescent="0.35">
      <c r="B10" s="7" t="str">
        <f>'Heatmap Data'!A4</f>
        <v>Wednesday</v>
      </c>
      <c r="C10" s="8">
        <f>'Heatmap Data'!B4</f>
        <v>698</v>
      </c>
      <c r="D10" s="8">
        <f>'Heatmap Data'!C4</f>
        <v>1873</v>
      </c>
      <c r="E10" s="8">
        <f>'Heatmap Data'!D4</f>
        <v>2540</v>
      </c>
      <c r="F10" s="8">
        <f>'Heatmap Data'!E4</f>
        <v>2527</v>
      </c>
      <c r="G10" s="8">
        <f>'Heatmap Data'!F4</f>
        <v>2596</v>
      </c>
      <c r="H10" s="8">
        <f>'Heatmap Data'!G4</f>
        <v>1468</v>
      </c>
      <c r="I10" s="8">
        <f>'Heatmap Data'!H4</f>
        <v>1226</v>
      </c>
      <c r="J10" s="8">
        <f>'Heatmap Data'!I4</f>
        <v>1311</v>
      </c>
      <c r="K10" s="8">
        <f>'Heatmap Data'!J4</f>
        <v>1257</v>
      </c>
      <c r="L10" s="8">
        <f>'Heatmap Data'!K4</f>
        <v>1270</v>
      </c>
      <c r="M10" s="8">
        <f>'Heatmap Data'!L4</f>
        <v>1272</v>
      </c>
      <c r="N10" s="8">
        <f>'Heatmap Data'!M4</f>
        <v>1235</v>
      </c>
      <c r="O10" s="8">
        <f>'Heatmap Data'!N4</f>
        <v>1118</v>
      </c>
      <c r="P10" s="8">
        <f>'Heatmap Data'!O4</f>
        <v>836</v>
      </c>
      <c r="Q10" s="8">
        <f>'Heatmap Data'!P4</f>
        <v>83</v>
      </c>
    </row>
    <row r="11" spans="2:17" x14ac:dyDescent="0.35">
      <c r="B11" s="7" t="str">
        <f>'Heatmap Data'!A5</f>
        <v>Thursday</v>
      </c>
      <c r="C11" s="8">
        <f>'Heatmap Data'!B5</f>
        <v>731</v>
      </c>
      <c r="D11" s="8">
        <f>'Heatmap Data'!C5</f>
        <v>1959</v>
      </c>
      <c r="E11" s="8">
        <f>'Heatmap Data'!D5</f>
        <v>2389</v>
      </c>
      <c r="F11" s="8">
        <f>'Heatmap Data'!E5</f>
        <v>2375</v>
      </c>
      <c r="G11" s="8">
        <f>'Heatmap Data'!F5</f>
        <v>2570</v>
      </c>
      <c r="H11" s="8">
        <f>'Heatmap Data'!G5</f>
        <v>1470</v>
      </c>
      <c r="I11" s="8">
        <f>'Heatmap Data'!H5</f>
        <v>1307</v>
      </c>
      <c r="J11" s="8">
        <f>'Heatmap Data'!I5</f>
        <v>1317</v>
      </c>
      <c r="K11" s="8">
        <f>'Heatmap Data'!J5</f>
        <v>1341</v>
      </c>
      <c r="L11" s="8">
        <f>'Heatmap Data'!K5</f>
        <v>1323</v>
      </c>
      <c r="M11" s="8">
        <f>'Heatmap Data'!L5</f>
        <v>1406</v>
      </c>
      <c r="N11" s="8">
        <f>'Heatmap Data'!M5</f>
        <v>1311</v>
      </c>
      <c r="O11" s="8">
        <f>'Heatmap Data'!N5</f>
        <v>1125</v>
      </c>
      <c r="P11" s="8">
        <f>'Heatmap Data'!O5</f>
        <v>970</v>
      </c>
      <c r="Q11" s="8">
        <f>'Heatmap Data'!P5</f>
        <v>60</v>
      </c>
    </row>
    <row r="12" spans="2:17" x14ac:dyDescent="0.35">
      <c r="B12" s="7" t="str">
        <f>'Heatmap Data'!A6</f>
        <v>Friday</v>
      </c>
      <c r="C12" s="8">
        <f>'Heatmap Data'!B6</f>
        <v>707</v>
      </c>
      <c r="D12" s="8">
        <f>'Heatmap Data'!C6</f>
        <v>1989</v>
      </c>
      <c r="E12" s="8">
        <f>'Heatmap Data'!D6</f>
        <v>2544</v>
      </c>
      <c r="F12" s="8">
        <f>'Heatmap Data'!E6</f>
        <v>2707</v>
      </c>
      <c r="G12" s="8">
        <f>'Heatmap Data'!F6</f>
        <v>2761</v>
      </c>
      <c r="H12" s="8">
        <f>'Heatmap Data'!G6</f>
        <v>1405</v>
      </c>
      <c r="I12" s="8">
        <f>'Heatmap Data'!H6</f>
        <v>1231</v>
      </c>
      <c r="J12" s="8">
        <f>'Heatmap Data'!I6</f>
        <v>1199</v>
      </c>
      <c r="K12" s="8">
        <f>'Heatmap Data'!J6</f>
        <v>1265</v>
      </c>
      <c r="L12" s="8">
        <f>'Heatmap Data'!K6</f>
        <v>1295</v>
      </c>
      <c r="M12" s="8">
        <f>'Heatmap Data'!L6</f>
        <v>1257</v>
      </c>
      <c r="N12" s="8">
        <f>'Heatmap Data'!M6</f>
        <v>1226</v>
      </c>
      <c r="O12" s="8">
        <f>'Heatmap Data'!N6</f>
        <v>1149</v>
      </c>
      <c r="P12" s="8">
        <f>'Heatmap Data'!O6</f>
        <v>886</v>
      </c>
      <c r="Q12" s="8">
        <f>'Heatmap Data'!P6</f>
        <v>80</v>
      </c>
    </row>
    <row r="13" spans="2:17" x14ac:dyDescent="0.35">
      <c r="B13" s="7" t="str">
        <f>'Heatmap Data'!A7</f>
        <v>Saturday</v>
      </c>
      <c r="C13" s="8">
        <f>'Heatmap Data'!B7</f>
        <v>592</v>
      </c>
      <c r="D13" s="8">
        <f>'Heatmap Data'!C7</f>
        <v>1877</v>
      </c>
      <c r="E13" s="8">
        <f>'Heatmap Data'!D7</f>
        <v>2438</v>
      </c>
      <c r="F13" s="8">
        <f>'Heatmap Data'!E7</f>
        <v>2345</v>
      </c>
      <c r="G13" s="8">
        <f>'Heatmap Data'!F7</f>
        <v>2551</v>
      </c>
      <c r="H13" s="8">
        <f>'Heatmap Data'!G7</f>
        <v>1307</v>
      </c>
      <c r="I13" s="8">
        <f>'Heatmap Data'!H7</f>
        <v>1279</v>
      </c>
      <c r="J13" s="8">
        <f>'Heatmap Data'!I7</f>
        <v>1187</v>
      </c>
      <c r="K13" s="8">
        <f>'Heatmap Data'!J7</f>
        <v>1226</v>
      </c>
      <c r="L13" s="8">
        <f>'Heatmap Data'!K7</f>
        <v>1287</v>
      </c>
      <c r="M13" s="8">
        <f>'Heatmap Data'!L7</f>
        <v>1287</v>
      </c>
      <c r="N13" s="8">
        <f>'Heatmap Data'!M7</f>
        <v>1178</v>
      </c>
      <c r="O13" s="8">
        <f>'Heatmap Data'!N7</f>
        <v>1019</v>
      </c>
      <c r="P13" s="8">
        <f>'Heatmap Data'!O7</f>
        <v>846</v>
      </c>
      <c r="Q13" s="8">
        <f>'Heatmap Data'!P7</f>
        <v>91</v>
      </c>
    </row>
    <row r="14" spans="2:17" x14ac:dyDescent="0.35">
      <c r="B14" s="7" t="str">
        <f>'Heatmap Data'!A8</f>
        <v>Sunday</v>
      </c>
      <c r="C14" s="8">
        <f>'Heatmap Data'!B8</f>
        <v>716</v>
      </c>
      <c r="D14" s="8">
        <f>'Heatmap Data'!C8</f>
        <v>1892</v>
      </c>
      <c r="E14" s="8">
        <f>'Heatmap Data'!D8</f>
        <v>2478</v>
      </c>
      <c r="F14" s="8">
        <f>'Heatmap Data'!E8</f>
        <v>2563</v>
      </c>
      <c r="G14" s="8">
        <f>'Heatmap Data'!F8</f>
        <v>2609</v>
      </c>
      <c r="H14" s="8">
        <f>'Heatmap Data'!G8</f>
        <v>1337</v>
      </c>
      <c r="I14" s="8">
        <f>'Heatmap Data'!H8</f>
        <v>1231</v>
      </c>
      <c r="J14" s="8">
        <f>'Heatmap Data'!I8</f>
        <v>1281</v>
      </c>
      <c r="K14" s="8">
        <f>'Heatmap Data'!J8</f>
        <v>1244</v>
      </c>
      <c r="L14" s="8">
        <f>'Heatmap Data'!K8</f>
        <v>1231</v>
      </c>
      <c r="M14" s="8">
        <f>'Heatmap Data'!L8</f>
        <v>1289</v>
      </c>
      <c r="N14" s="8">
        <f>'Heatmap Data'!M8</f>
        <v>1261</v>
      </c>
      <c r="O14" s="8">
        <f>'Heatmap Data'!N8</f>
        <v>1053</v>
      </c>
      <c r="P14" s="8">
        <f>'Heatmap Data'!O8</f>
        <v>836</v>
      </c>
      <c r="Q14" s="8">
        <f>'Heatmap Data'!P8</f>
        <v>75</v>
      </c>
    </row>
    <row r="16" spans="2:17" ht="15.5" x14ac:dyDescent="0.35">
      <c r="B16" s="9" t="s">
        <v>21</v>
      </c>
      <c r="F16" s="10" t="str">
        <f>INDEX(C7:Q7,MATCH(MAX(C19:Q19),C19:Q19,0))</f>
        <v>10:00</v>
      </c>
    </row>
    <row r="17" spans="2:17" x14ac:dyDescent="0.35">
      <c r="F17" s="11">
        <f>MAX(C19:Q19)</f>
        <v>18545</v>
      </c>
    </row>
    <row r="19" spans="2:17" x14ac:dyDescent="0.35">
      <c r="B19" s="12" t="s">
        <v>22</v>
      </c>
      <c r="C19">
        <f t="shared" ref="C19:Q19" si="0">SUM(C8:C14)</f>
        <v>4594</v>
      </c>
      <c r="D19">
        <f t="shared" si="0"/>
        <v>13428</v>
      </c>
      <c r="E19">
        <f t="shared" si="0"/>
        <v>17654</v>
      </c>
      <c r="F19">
        <f t="shared" si="0"/>
        <v>17764</v>
      </c>
      <c r="G19">
        <f t="shared" si="0"/>
        <v>18545</v>
      </c>
      <c r="H19">
        <f t="shared" si="0"/>
        <v>9766</v>
      </c>
      <c r="I19">
        <f t="shared" si="0"/>
        <v>8708</v>
      </c>
      <c r="J19">
        <f t="shared" si="0"/>
        <v>8714</v>
      </c>
      <c r="K19">
        <f t="shared" si="0"/>
        <v>8933</v>
      </c>
      <c r="L19">
        <f t="shared" si="0"/>
        <v>8979</v>
      </c>
      <c r="M19">
        <f t="shared" si="0"/>
        <v>9093</v>
      </c>
      <c r="N19">
        <f t="shared" si="0"/>
        <v>8745</v>
      </c>
      <c r="O19">
        <f t="shared" si="0"/>
        <v>7498</v>
      </c>
      <c r="P19">
        <f t="shared" si="0"/>
        <v>6092</v>
      </c>
      <c r="Q19">
        <f t="shared" si="0"/>
        <v>603</v>
      </c>
    </row>
  </sheetData>
  <mergeCells count="8">
    <mergeCell ref="B2:C2"/>
    <mergeCell ref="D2:E2"/>
    <mergeCell ref="F2:G2"/>
    <mergeCell ref="H2:I2"/>
    <mergeCell ref="B3:C3"/>
    <mergeCell ref="D3:E3"/>
    <mergeCell ref="F3:G3"/>
    <mergeCell ref="H3:I3"/>
  </mergeCells>
  <conditionalFormatting sqref="C8:Q14">
    <cfRule type="colorScale" priority="2">
      <colorScale>
        <cfvo type="min"/>
        <cfvo type="percentile" val="50"/>
        <cfvo type="max"/>
        <color rgb="FF2E2521"/>
        <color rgb="FFB06A2C"/>
        <color rgb="FFFFD9A0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zoomScaleNormal="100" workbookViewId="0"/>
  </sheetViews>
  <sheetFormatPr defaultColWidth="8.6328125" defaultRowHeight="14.5" x14ac:dyDescent="0.35"/>
  <sheetData>
    <row r="1" spans="1:7" x14ac:dyDescent="0.35">
      <c r="A1" s="13" t="s">
        <v>23</v>
      </c>
      <c r="B1" s="13" t="s">
        <v>24</v>
      </c>
      <c r="C1" s="13" t="s">
        <v>25</v>
      </c>
      <c r="D1" s="13" t="s">
        <v>26</v>
      </c>
      <c r="E1" s="13" t="s">
        <v>27</v>
      </c>
      <c r="F1" s="13" t="s">
        <v>28</v>
      </c>
      <c r="G1" s="13" t="s">
        <v>29</v>
      </c>
    </row>
    <row r="2" spans="1:7" x14ac:dyDescent="0.35">
      <c r="A2">
        <v>3</v>
      </c>
      <c r="B2" t="s">
        <v>30</v>
      </c>
      <c r="C2">
        <v>40.764400000000002</v>
      </c>
      <c r="D2">
        <v>-73.923500000000004</v>
      </c>
      <c r="E2">
        <v>50599</v>
      </c>
      <c r="F2">
        <v>70991</v>
      </c>
      <c r="G2">
        <v>232243.91</v>
      </c>
    </row>
    <row r="3" spans="1:7" x14ac:dyDescent="0.35">
      <c r="A3">
        <v>5</v>
      </c>
      <c r="B3" t="s">
        <v>31</v>
      </c>
      <c r="C3">
        <v>40.712800000000001</v>
      </c>
      <c r="D3">
        <v>-74.006</v>
      </c>
      <c r="E3">
        <v>47782</v>
      </c>
      <c r="F3">
        <v>71742</v>
      </c>
      <c r="G3">
        <v>230057.25</v>
      </c>
    </row>
    <row r="4" spans="1:7" x14ac:dyDescent="0.35">
      <c r="A4">
        <v>8</v>
      </c>
      <c r="B4" t="s">
        <v>32</v>
      </c>
      <c r="C4">
        <v>40.767600000000002</v>
      </c>
      <c r="D4">
        <v>-73.991799999999998</v>
      </c>
      <c r="E4">
        <v>50735</v>
      </c>
      <c r="F4">
        <v>71737</v>
      </c>
      <c r="G4">
        <v>236511.17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"/>
  <sheetViews>
    <sheetView zoomScaleNormal="100" workbookViewId="0"/>
  </sheetViews>
  <sheetFormatPr defaultColWidth="8.6328125" defaultRowHeight="14.5" x14ac:dyDescent="0.35"/>
  <sheetData>
    <row r="1" spans="1:16" x14ac:dyDescent="0.35">
      <c r="A1" s="13" t="s">
        <v>33</v>
      </c>
      <c r="B1" s="13">
        <v>6</v>
      </c>
      <c r="C1" s="13">
        <v>7</v>
      </c>
      <c r="D1" s="13">
        <v>8</v>
      </c>
      <c r="E1" s="13">
        <v>9</v>
      </c>
      <c r="F1" s="13">
        <v>10</v>
      </c>
      <c r="G1" s="13">
        <v>11</v>
      </c>
      <c r="H1" s="13">
        <v>12</v>
      </c>
      <c r="I1" s="13">
        <v>13</v>
      </c>
      <c r="J1" s="13">
        <v>14</v>
      </c>
      <c r="K1" s="13">
        <v>15</v>
      </c>
      <c r="L1" s="13">
        <v>16</v>
      </c>
      <c r="M1" s="13">
        <v>17</v>
      </c>
      <c r="N1" s="13">
        <v>18</v>
      </c>
      <c r="O1" s="13">
        <v>19</v>
      </c>
      <c r="P1" s="13">
        <v>20</v>
      </c>
    </row>
    <row r="2" spans="1:16" x14ac:dyDescent="0.35">
      <c r="A2" t="s">
        <v>34</v>
      </c>
      <c r="B2">
        <v>661</v>
      </c>
      <c r="C2">
        <v>1992</v>
      </c>
      <c r="D2">
        <v>2482</v>
      </c>
      <c r="E2">
        <v>2494</v>
      </c>
      <c r="F2">
        <v>2612</v>
      </c>
      <c r="G2">
        <v>1478</v>
      </c>
      <c r="H2">
        <v>1308</v>
      </c>
      <c r="I2">
        <v>1267</v>
      </c>
      <c r="J2">
        <v>1376</v>
      </c>
      <c r="K2">
        <v>1319</v>
      </c>
      <c r="L2">
        <v>1355</v>
      </c>
      <c r="M2">
        <v>1302</v>
      </c>
      <c r="N2">
        <v>1077</v>
      </c>
      <c r="O2">
        <v>846</v>
      </c>
      <c r="P2">
        <v>74</v>
      </c>
    </row>
    <row r="3" spans="1:16" x14ac:dyDescent="0.35">
      <c r="A3" t="s">
        <v>35</v>
      </c>
      <c r="B3">
        <v>489</v>
      </c>
      <c r="C3">
        <v>1846</v>
      </c>
      <c r="D3">
        <v>2783</v>
      </c>
      <c r="E3">
        <v>2753</v>
      </c>
      <c r="F3">
        <v>2846</v>
      </c>
      <c r="G3">
        <v>1301</v>
      </c>
      <c r="H3">
        <v>1126</v>
      </c>
      <c r="I3">
        <v>1152</v>
      </c>
      <c r="J3">
        <v>1224</v>
      </c>
      <c r="K3">
        <v>1254</v>
      </c>
      <c r="L3">
        <v>1227</v>
      </c>
      <c r="M3">
        <v>1232</v>
      </c>
      <c r="N3">
        <v>957</v>
      </c>
      <c r="O3">
        <v>872</v>
      </c>
      <c r="P3">
        <v>140</v>
      </c>
    </row>
    <row r="4" spans="1:16" x14ac:dyDescent="0.35">
      <c r="A4" t="s">
        <v>36</v>
      </c>
      <c r="B4">
        <v>698</v>
      </c>
      <c r="C4">
        <v>1873</v>
      </c>
      <c r="D4">
        <v>2540</v>
      </c>
      <c r="E4">
        <v>2527</v>
      </c>
      <c r="F4">
        <v>2596</v>
      </c>
      <c r="G4">
        <v>1468</v>
      </c>
      <c r="H4">
        <v>1226</v>
      </c>
      <c r="I4">
        <v>1311</v>
      </c>
      <c r="J4">
        <v>1257</v>
      </c>
      <c r="K4">
        <v>1270</v>
      </c>
      <c r="L4">
        <v>1272</v>
      </c>
      <c r="M4">
        <v>1235</v>
      </c>
      <c r="N4">
        <v>1118</v>
      </c>
      <c r="O4">
        <v>836</v>
      </c>
      <c r="P4">
        <v>83</v>
      </c>
    </row>
    <row r="5" spans="1:16" x14ac:dyDescent="0.35">
      <c r="A5" t="s">
        <v>37</v>
      </c>
      <c r="B5">
        <v>731</v>
      </c>
      <c r="C5">
        <v>1959</v>
      </c>
      <c r="D5">
        <v>2389</v>
      </c>
      <c r="E5">
        <v>2375</v>
      </c>
      <c r="F5">
        <v>2570</v>
      </c>
      <c r="G5">
        <v>1470</v>
      </c>
      <c r="H5">
        <v>1307</v>
      </c>
      <c r="I5">
        <v>1317</v>
      </c>
      <c r="J5">
        <v>1341</v>
      </c>
      <c r="K5">
        <v>1323</v>
      </c>
      <c r="L5">
        <v>1406</v>
      </c>
      <c r="M5">
        <v>1311</v>
      </c>
      <c r="N5">
        <v>1125</v>
      </c>
      <c r="O5">
        <v>970</v>
      </c>
      <c r="P5">
        <v>60</v>
      </c>
    </row>
    <row r="6" spans="1:16" x14ac:dyDescent="0.35">
      <c r="A6" t="s">
        <v>38</v>
      </c>
      <c r="B6">
        <v>707</v>
      </c>
      <c r="C6">
        <v>1989</v>
      </c>
      <c r="D6">
        <v>2544</v>
      </c>
      <c r="E6">
        <v>2707</v>
      </c>
      <c r="F6">
        <v>2761</v>
      </c>
      <c r="G6">
        <v>1405</v>
      </c>
      <c r="H6">
        <v>1231</v>
      </c>
      <c r="I6">
        <v>1199</v>
      </c>
      <c r="J6">
        <v>1265</v>
      </c>
      <c r="K6">
        <v>1295</v>
      </c>
      <c r="L6">
        <v>1257</v>
      </c>
      <c r="M6">
        <v>1226</v>
      </c>
      <c r="N6">
        <v>1149</v>
      </c>
      <c r="O6">
        <v>886</v>
      </c>
      <c r="P6">
        <v>80</v>
      </c>
    </row>
    <row r="7" spans="1:16" x14ac:dyDescent="0.35">
      <c r="A7" t="s">
        <v>39</v>
      </c>
      <c r="B7">
        <v>592</v>
      </c>
      <c r="C7">
        <v>1877</v>
      </c>
      <c r="D7">
        <v>2438</v>
      </c>
      <c r="E7">
        <v>2345</v>
      </c>
      <c r="F7">
        <v>2551</v>
      </c>
      <c r="G7">
        <v>1307</v>
      </c>
      <c r="H7">
        <v>1279</v>
      </c>
      <c r="I7">
        <v>1187</v>
      </c>
      <c r="J7">
        <v>1226</v>
      </c>
      <c r="K7">
        <v>1287</v>
      </c>
      <c r="L7">
        <v>1287</v>
      </c>
      <c r="M7">
        <v>1178</v>
      </c>
      <c r="N7">
        <v>1019</v>
      </c>
      <c r="O7">
        <v>846</v>
      </c>
      <c r="P7">
        <v>91</v>
      </c>
    </row>
    <row r="8" spans="1:16" x14ac:dyDescent="0.35">
      <c r="A8" t="s">
        <v>40</v>
      </c>
      <c r="B8">
        <v>716</v>
      </c>
      <c r="C8">
        <v>1892</v>
      </c>
      <c r="D8">
        <v>2478</v>
      </c>
      <c r="E8">
        <v>2563</v>
      </c>
      <c r="F8">
        <v>2609</v>
      </c>
      <c r="G8">
        <v>1337</v>
      </c>
      <c r="H8">
        <v>1231</v>
      </c>
      <c r="I8">
        <v>1281</v>
      </c>
      <c r="J8">
        <v>1244</v>
      </c>
      <c r="K8">
        <v>1231</v>
      </c>
      <c r="L8">
        <v>1289</v>
      </c>
      <c r="M8">
        <v>1261</v>
      </c>
      <c r="N8">
        <v>1053</v>
      </c>
      <c r="O8">
        <v>836</v>
      </c>
      <c r="P8">
        <v>75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Heatmap</vt:lpstr>
      <vt:lpstr>Store Map Data</vt:lpstr>
      <vt:lpstr>Heatmap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Imasha Ilamperuma</cp:lastModifiedBy>
  <cp:revision>0</cp:revision>
  <dcterms:created xsi:type="dcterms:W3CDTF">2026-09-20T16:10:42Z</dcterms:created>
  <dcterms:modified xsi:type="dcterms:W3CDTF">2026-09-20T16:13:25Z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6ac557-f879-4314-a0dd-31320f1fd83e_Enabled">
    <vt:lpwstr>true</vt:lpwstr>
  </property>
  <property fmtid="{D5CDD505-2E9C-101B-9397-08002B2CF9AE}" pid="3" name="MSIP_Label_956ac557-f879-4314-a0dd-31320f1fd83e_SetDate">
    <vt:lpwstr>2026-09-20T16:13:25Z</vt:lpwstr>
  </property>
  <property fmtid="{D5CDD505-2E9C-101B-9397-08002B2CF9AE}" pid="4" name="MSIP_Label_956ac557-f879-4314-a0dd-31320f1fd83e_Method">
    <vt:lpwstr>Standard</vt:lpwstr>
  </property>
  <property fmtid="{D5CDD505-2E9C-101B-9397-08002B2CF9AE}" pid="5" name="MSIP_Label_956ac557-f879-4314-a0dd-31320f1fd83e_Name">
    <vt:lpwstr>956ac557-f879-4314-a0dd-31320f1fd83e</vt:lpwstr>
  </property>
  <property fmtid="{D5CDD505-2E9C-101B-9397-08002B2CF9AE}" pid="6" name="MSIP_Label_956ac557-f879-4314-a0dd-31320f1fd83e_SiteId">
    <vt:lpwstr>97424943-93ed-421f-81ce-f245fd53a717</vt:lpwstr>
  </property>
  <property fmtid="{D5CDD505-2E9C-101B-9397-08002B2CF9AE}" pid="7" name="MSIP_Label_956ac557-f879-4314-a0dd-31320f1fd83e_ActionId">
    <vt:lpwstr>7f3be99d-88d3-47e2-96d9-27ca3ca09587</vt:lpwstr>
  </property>
  <property fmtid="{D5CDD505-2E9C-101B-9397-08002B2CF9AE}" pid="8" name="MSIP_Label_956ac557-f879-4314-a0dd-31320f1fd83e_ContentBits">
    <vt:lpwstr>0</vt:lpwstr>
  </property>
  <property fmtid="{D5CDD505-2E9C-101B-9397-08002B2CF9AE}" pid="9" name="MSIP_Label_956ac557-f879-4314-a0dd-31320f1fd83e_Tag">
    <vt:lpwstr>10, 3, 0, 1</vt:lpwstr>
  </property>
</Properties>
</file>