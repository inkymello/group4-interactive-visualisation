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micloud365-my.sharepoint.com/personal/imashai_millenniumitesp_com/Documents/Desktop/MSc BInA/Academics/3-Interactive Visualization/Assesment/Prototypes/De Silva/"/>
    </mc:Choice>
  </mc:AlternateContent>
  <xr:revisionPtr revIDLastSave="1" documentId="13_ncr:1_{60707FA5-02D2-4E20-8FCE-2C6A95C3E99E}" xr6:coauthVersionLast="47" xr6:coauthVersionMax="47" xr10:uidLastSave="{498ADD4E-EC11-40A2-A262-D87522DC9E3F}"/>
  <bookViews>
    <workbookView xWindow="-110" yWindow="-110" windowWidth="19420" windowHeight="11500" tabRatio="500" xr2:uid="{00000000-000D-0000-FFFF-FFFF00000000}"/>
  </bookViews>
  <sheets>
    <sheet name="Scatter" sheetId="1" r:id="rId1"/>
    <sheet name="Store Map Data" sheetId="2" r:id="rId2"/>
    <sheet name="Daily by Store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11" i="1" l="1"/>
  <c r="M10" i="1"/>
  <c r="M9" i="1"/>
  <c r="M8" i="1"/>
  <c r="M7" i="1"/>
  <c r="H3" i="1"/>
  <c r="F3" i="1"/>
  <c r="D3" i="1"/>
  <c r="B3" i="1"/>
</calcChain>
</file>

<file path=xl/sharedStrings.xml><?xml version="1.0" encoding="utf-8"?>
<sst xmlns="http://schemas.openxmlformats.org/spreadsheetml/2006/main" count="1111" uniqueCount="202">
  <si>
    <t>REVENUE</t>
  </si>
  <si>
    <t>TRANSACTIONS</t>
  </si>
  <si>
    <t>UNITS SOLD</t>
  </si>
  <si>
    <t>PER TRANSACTION</t>
  </si>
  <si>
    <t>How much a cup is worth — daily units sold vs. daily revenue</t>
  </si>
  <si>
    <t>Slope ($ per extra unit)</t>
  </si>
  <si>
    <t>Intercept</t>
  </si>
  <si>
    <t>R squared</t>
  </si>
  <si>
    <t>Correlation</t>
  </si>
  <si>
    <t>Store-days plotted</t>
  </si>
  <si>
    <t>store_id</t>
  </si>
  <si>
    <t>store_location</t>
  </si>
  <si>
    <t>latitude</t>
  </si>
  <si>
    <t>longitude</t>
  </si>
  <si>
    <t>transactions</t>
  </si>
  <si>
    <t>quantity_sold</t>
  </si>
  <si>
    <t>revenue</t>
  </si>
  <si>
    <t>Astoria</t>
  </si>
  <si>
    <t>Lower Manhattan</t>
  </si>
  <si>
    <t>Hell's Kitchen</t>
  </si>
  <si>
    <t>transaction_date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</si>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</sst>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"/>
    <numFmt numFmtId="165" formatCode="\$#,##0.00"/>
    <numFmt numFmtId="166" formatCode="\$0.00"/>
    <numFmt numFmtId="167" formatCode="0.000"/>
    <numFmt numFmtId="168" formatCode="yyyy\-mm\-dd"/>
  </numFmts>
  <fonts count="7" x14ac:knownFonts="1">
    <font>
      <sz val="11"/>
      <color theme="1"/>
      <name val="Calibri"/>
      <family val="2"/>
      <charset val="1"/>
    </font>
    <font>
      <b/>
      <sz val="9"/>
      <color rgb="FF6B6058"/>
      <name val="Arial"/>
      <family val="2"/>
    </font>
    <font>
      <b/>
      <sz val="16"/>
      <color rgb="FF2A2320"/>
      <name val="Arial"/>
      <family val="2"/>
    </font>
    <font>
      <b/>
      <sz val="13"/>
      <color rgb="FFB06A2C"/>
      <name val="Arial"/>
      <family val="2"/>
    </font>
    <font>
      <sz val="9"/>
      <color rgb="FF6B6058"/>
      <name val="Arial"/>
      <family val="2"/>
    </font>
    <font>
      <b/>
      <sz val="11"/>
      <color rgb="FF2A2320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7EC"/>
        <bgColor rgb="FFFFFFCC"/>
      </patternFill>
    </fill>
  </fills>
  <borders count="2">
    <border>
      <left/>
      <right/>
      <top/>
      <bottom/>
      <diagonal/>
    </border>
    <border>
      <left style="thin">
        <color rgb="FFE6DDCE"/>
      </left>
      <right style="thin">
        <color rgb="FFE6DDCE"/>
      </right>
      <top style="thin">
        <color rgb="FFE6DDCE"/>
      </top>
      <bottom style="thin">
        <color rgb="FFE6DDCE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/>
    <xf numFmtId="0" fontId="4" fillId="0" borderId="0" xfId="0" applyFont="1"/>
    <xf numFmtId="166" fontId="5" fillId="0" borderId="0" xfId="0" applyNumberFormat="1" applyFont="1"/>
    <xf numFmtId="167" fontId="5" fillId="0" borderId="0" xfId="0" applyNumberFormat="1" applyFont="1"/>
    <xf numFmtId="3" fontId="5" fillId="0" borderId="0" xfId="0" applyNumberFormat="1" applyFont="1"/>
    <xf numFmtId="0" fontId="6" fillId="0" borderId="0" xfId="0" applyFont="1"/>
    <xf numFmtId="168" fontId="0" fillId="0" borderId="0" xfId="0" applyNumberFormat="1"/>
    <xf numFmtId="165" fontId="0" fillId="0" borderId="0" xfId="0" applyNumberFormat="1"/>
    <xf numFmtId="0" fontId="1" fillId="2" borderId="1" xfId="0" applyFont="1" applyFill="1" applyBorder="1"/>
    <xf numFmtId="164" fontId="2" fillId="2" borderId="1" xfId="0" applyNumberFormat="1" applyFont="1" applyFill="1" applyBorder="1"/>
    <xf numFmtId="3" fontId="2" fillId="2" borderId="1" xfId="0" applyNumberFormat="1" applyFont="1" applyFill="1" applyBorder="1"/>
    <xf numFmtId="165" fontId="2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7EC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06A2C"/>
      <rgbColor rgb="FF800080"/>
      <rgbColor rgb="FF008080"/>
      <rgbColor rgb="FFC0C0C0"/>
      <rgbColor rgb="FF878787"/>
      <rgbColor rgb="FF9999FF"/>
      <rgbColor rgb="FFC0574B"/>
      <rgbColor rgb="FFFFFFCC"/>
      <rgbColor rgb="FFCCFFFF"/>
      <rgbColor rgb="FF660066"/>
      <rgbColor rgb="FFE0A15C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6DDCE"/>
      <rgbColor rgb="FF3366FF"/>
      <rgbColor rgb="FF33CCCC"/>
      <rgbColor rgb="FF99CC00"/>
      <rgbColor rgb="FFFFCC00"/>
      <rgbColor rgb="FFFF9900"/>
      <rgbColor rgb="FFFF6600"/>
      <rgbColor rgb="FF6B6058"/>
      <rgbColor rgb="FF969696"/>
      <rgbColor rgb="FF003366"/>
      <rgbColor rgb="FF4E8C7C"/>
      <rgbColor rgb="FF003300"/>
      <rgbColor rgb="FF333300"/>
      <rgbColor rgb="FF993300"/>
      <rgbColor rgb="FF993366"/>
      <rgbColor rgb="FF333399"/>
      <rgbColor rgb="FF2A232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per day vs. units sold per day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Astoria</c:v>
          </c:tx>
          <c:spPr>
            <a:ln w="47520">
              <a:noFill/>
            </a:ln>
          </c:spPr>
          <c:marker>
            <c:symbol val="circle"/>
            <c:size val="6"/>
            <c:spPr>
              <a:solidFill>
                <a:srgbClr val="E0A15C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dispRSqr val="1"/>
            <c:dispEq val="1"/>
            <c:trendlineLbl>
              <c:layout>
                <c:manualLayout>
                  <c:x val="-4.5519952175401765E-2"/>
                  <c:y val="-6.6934824142536413E-4"/>
                </c:manualLayout>
              </c:layout>
              <c:tx>
                <c:rich>
                  <a:bodyPr/>
                  <a:lstStyle/>
                  <a:p>
                    <a:pPr>
                      <a:defRPr/>
                    </a:pPr>
                    <a:r>
                      <a:rPr lang="en-US" baseline="0"/>
                      <a:t>y = 3.20x + 23.59</a:t>
                    </a:r>
                    <a:br>
                      <a:rPr lang="en-US" baseline="0"/>
                    </a:br>
                    <a:endParaRPr lang="en-US"/>
                  </a:p>
                </c:rich>
              </c:tx>
              <c:numFmt formatCode="General" sourceLinked="0"/>
            </c:trendlineLbl>
          </c:trendline>
          <c:xVal>
            <c:numRef>
              <c:f>'Daily by Store'!$C$2:$C$182</c:f>
              <c:numCache>
                <c:formatCode>General</c:formatCode>
                <c:ptCount val="181"/>
                <c:pt idx="0">
                  <c:v>277</c:v>
                </c:pt>
                <c:pt idx="1">
                  <c:v>301</c:v>
                </c:pt>
                <c:pt idx="2">
                  <c:v>287</c:v>
                </c:pt>
                <c:pt idx="3">
                  <c:v>262</c:v>
                </c:pt>
                <c:pt idx="4">
                  <c:v>285</c:v>
                </c:pt>
                <c:pt idx="5">
                  <c:v>224</c:v>
                </c:pt>
                <c:pt idx="6">
                  <c:v>257</c:v>
                </c:pt>
                <c:pt idx="7">
                  <c:v>227</c:v>
                </c:pt>
                <c:pt idx="8">
                  <c:v>208</c:v>
                </c:pt>
                <c:pt idx="9">
                  <c:v>305</c:v>
                </c:pt>
                <c:pt idx="10">
                  <c:v>229</c:v>
                </c:pt>
                <c:pt idx="11">
                  <c:v>206</c:v>
                </c:pt>
                <c:pt idx="12">
                  <c:v>246</c:v>
                </c:pt>
                <c:pt idx="13">
                  <c:v>213</c:v>
                </c:pt>
                <c:pt idx="14">
                  <c:v>365</c:v>
                </c:pt>
                <c:pt idx="15">
                  <c:v>319</c:v>
                </c:pt>
                <c:pt idx="16">
                  <c:v>297</c:v>
                </c:pt>
                <c:pt idx="17">
                  <c:v>295</c:v>
                </c:pt>
                <c:pt idx="18">
                  <c:v>313</c:v>
                </c:pt>
                <c:pt idx="19">
                  <c:v>215</c:v>
                </c:pt>
                <c:pt idx="20">
                  <c:v>265</c:v>
                </c:pt>
                <c:pt idx="21">
                  <c:v>240</c:v>
                </c:pt>
                <c:pt idx="22">
                  <c:v>292</c:v>
                </c:pt>
                <c:pt idx="23">
                  <c:v>292</c:v>
                </c:pt>
                <c:pt idx="24">
                  <c:v>314</c:v>
                </c:pt>
                <c:pt idx="25">
                  <c:v>308</c:v>
                </c:pt>
                <c:pt idx="26">
                  <c:v>273</c:v>
                </c:pt>
                <c:pt idx="27">
                  <c:v>244</c:v>
                </c:pt>
                <c:pt idx="28">
                  <c:v>261</c:v>
                </c:pt>
                <c:pt idx="29">
                  <c:v>242</c:v>
                </c:pt>
                <c:pt idx="30">
                  <c:v>219</c:v>
                </c:pt>
                <c:pt idx="31">
                  <c:v>272</c:v>
                </c:pt>
                <c:pt idx="32">
                  <c:v>302</c:v>
                </c:pt>
                <c:pt idx="33">
                  <c:v>301</c:v>
                </c:pt>
                <c:pt idx="34">
                  <c:v>271</c:v>
                </c:pt>
                <c:pt idx="35">
                  <c:v>283</c:v>
                </c:pt>
                <c:pt idx="36">
                  <c:v>209</c:v>
                </c:pt>
                <c:pt idx="37">
                  <c:v>255</c:v>
                </c:pt>
                <c:pt idx="38">
                  <c:v>263</c:v>
                </c:pt>
                <c:pt idx="39">
                  <c:v>225</c:v>
                </c:pt>
                <c:pt idx="40">
                  <c:v>297</c:v>
                </c:pt>
                <c:pt idx="41">
                  <c:v>212</c:v>
                </c:pt>
                <c:pt idx="42">
                  <c:v>207</c:v>
                </c:pt>
                <c:pt idx="43">
                  <c:v>212</c:v>
                </c:pt>
                <c:pt idx="44">
                  <c:v>210</c:v>
                </c:pt>
                <c:pt idx="45">
                  <c:v>375</c:v>
                </c:pt>
                <c:pt idx="46">
                  <c:v>341</c:v>
                </c:pt>
                <c:pt idx="47">
                  <c:v>298</c:v>
                </c:pt>
                <c:pt idx="48">
                  <c:v>297</c:v>
                </c:pt>
                <c:pt idx="49">
                  <c:v>342</c:v>
                </c:pt>
                <c:pt idx="50">
                  <c:v>209</c:v>
                </c:pt>
                <c:pt idx="51">
                  <c:v>238</c:v>
                </c:pt>
                <c:pt idx="52">
                  <c:v>334</c:v>
                </c:pt>
                <c:pt idx="53">
                  <c:v>283</c:v>
                </c:pt>
                <c:pt idx="54">
                  <c:v>303</c:v>
                </c:pt>
                <c:pt idx="55">
                  <c:v>266</c:v>
                </c:pt>
                <c:pt idx="56">
                  <c:v>337</c:v>
                </c:pt>
                <c:pt idx="57">
                  <c:v>301</c:v>
                </c:pt>
                <c:pt idx="58">
                  <c:v>275</c:v>
                </c:pt>
                <c:pt idx="59">
                  <c:v>328</c:v>
                </c:pt>
                <c:pt idx="60">
                  <c:v>352</c:v>
                </c:pt>
                <c:pt idx="61">
                  <c:v>371</c:v>
                </c:pt>
                <c:pt idx="62">
                  <c:v>328</c:v>
                </c:pt>
                <c:pt idx="63">
                  <c:v>355</c:v>
                </c:pt>
                <c:pt idx="64">
                  <c:v>231</c:v>
                </c:pt>
                <c:pt idx="65">
                  <c:v>293</c:v>
                </c:pt>
                <c:pt idx="66">
                  <c:v>332</c:v>
                </c:pt>
                <c:pt idx="67">
                  <c:v>249</c:v>
                </c:pt>
                <c:pt idx="68">
                  <c:v>327</c:v>
                </c:pt>
                <c:pt idx="69">
                  <c:v>295</c:v>
                </c:pt>
                <c:pt idx="70">
                  <c:v>202</c:v>
                </c:pt>
                <c:pt idx="71">
                  <c:v>282</c:v>
                </c:pt>
                <c:pt idx="72">
                  <c:v>257</c:v>
                </c:pt>
                <c:pt idx="73">
                  <c:v>398</c:v>
                </c:pt>
                <c:pt idx="74">
                  <c:v>359</c:v>
                </c:pt>
                <c:pt idx="75">
                  <c:v>408</c:v>
                </c:pt>
                <c:pt idx="76">
                  <c:v>353</c:v>
                </c:pt>
                <c:pt idx="77">
                  <c:v>392</c:v>
                </c:pt>
                <c:pt idx="78">
                  <c:v>285</c:v>
                </c:pt>
                <c:pt idx="79">
                  <c:v>236</c:v>
                </c:pt>
                <c:pt idx="80">
                  <c:v>367</c:v>
                </c:pt>
                <c:pt idx="81">
                  <c:v>328</c:v>
                </c:pt>
                <c:pt idx="82">
                  <c:v>355</c:v>
                </c:pt>
                <c:pt idx="83">
                  <c:v>337</c:v>
                </c:pt>
                <c:pt idx="84">
                  <c:v>391</c:v>
                </c:pt>
                <c:pt idx="85">
                  <c:v>360</c:v>
                </c:pt>
                <c:pt idx="86">
                  <c:v>312</c:v>
                </c:pt>
                <c:pt idx="87">
                  <c:v>317</c:v>
                </c:pt>
                <c:pt idx="88">
                  <c:v>307</c:v>
                </c:pt>
                <c:pt idx="89">
                  <c:v>292</c:v>
                </c:pt>
                <c:pt idx="90">
                  <c:v>433</c:v>
                </c:pt>
                <c:pt idx="91">
                  <c:v>430</c:v>
                </c:pt>
                <c:pt idx="92">
                  <c:v>429</c:v>
                </c:pt>
                <c:pt idx="93">
                  <c:v>371</c:v>
                </c:pt>
                <c:pt idx="94">
                  <c:v>400</c:v>
                </c:pt>
                <c:pt idx="95">
                  <c:v>318</c:v>
                </c:pt>
                <c:pt idx="96">
                  <c:v>363</c:v>
                </c:pt>
                <c:pt idx="97">
                  <c:v>444</c:v>
                </c:pt>
                <c:pt idx="98">
                  <c:v>320</c:v>
                </c:pt>
                <c:pt idx="99">
                  <c:v>416</c:v>
                </c:pt>
                <c:pt idx="100">
                  <c:v>411</c:v>
                </c:pt>
                <c:pt idx="101">
                  <c:v>287</c:v>
                </c:pt>
                <c:pt idx="102">
                  <c:v>353</c:v>
                </c:pt>
                <c:pt idx="103">
                  <c:v>322</c:v>
                </c:pt>
                <c:pt idx="104">
                  <c:v>470</c:v>
                </c:pt>
                <c:pt idx="105">
                  <c:v>451</c:v>
                </c:pt>
                <c:pt idx="106">
                  <c:v>457</c:v>
                </c:pt>
                <c:pt idx="107">
                  <c:v>453</c:v>
                </c:pt>
                <c:pt idx="108">
                  <c:v>488</c:v>
                </c:pt>
                <c:pt idx="109">
                  <c:v>294</c:v>
                </c:pt>
                <c:pt idx="110">
                  <c:v>305</c:v>
                </c:pt>
                <c:pt idx="111">
                  <c:v>414</c:v>
                </c:pt>
                <c:pt idx="112">
                  <c:v>428</c:v>
                </c:pt>
                <c:pt idx="113">
                  <c:v>490</c:v>
                </c:pt>
                <c:pt idx="114">
                  <c:v>430</c:v>
                </c:pt>
                <c:pt idx="115">
                  <c:v>461</c:v>
                </c:pt>
                <c:pt idx="116">
                  <c:v>461</c:v>
                </c:pt>
                <c:pt idx="117">
                  <c:v>386</c:v>
                </c:pt>
                <c:pt idx="118">
                  <c:v>355</c:v>
                </c:pt>
                <c:pt idx="119">
                  <c:v>386</c:v>
                </c:pt>
                <c:pt idx="120">
                  <c:v>533</c:v>
                </c:pt>
                <c:pt idx="121">
                  <c:v>564</c:v>
                </c:pt>
                <c:pt idx="122">
                  <c:v>567</c:v>
                </c:pt>
                <c:pt idx="123">
                  <c:v>547</c:v>
                </c:pt>
                <c:pt idx="124">
                  <c:v>554</c:v>
                </c:pt>
                <c:pt idx="125">
                  <c:v>414</c:v>
                </c:pt>
                <c:pt idx="126">
                  <c:v>452</c:v>
                </c:pt>
                <c:pt idx="127">
                  <c:v>546</c:v>
                </c:pt>
                <c:pt idx="128">
                  <c:v>387</c:v>
                </c:pt>
                <c:pt idx="129">
                  <c:v>550</c:v>
                </c:pt>
                <c:pt idx="130">
                  <c:v>443</c:v>
                </c:pt>
                <c:pt idx="131">
                  <c:v>362</c:v>
                </c:pt>
                <c:pt idx="132">
                  <c:v>439</c:v>
                </c:pt>
                <c:pt idx="133">
                  <c:v>417</c:v>
                </c:pt>
                <c:pt idx="134">
                  <c:v>630</c:v>
                </c:pt>
                <c:pt idx="135">
                  <c:v>623</c:v>
                </c:pt>
                <c:pt idx="136">
                  <c:v>566</c:v>
                </c:pt>
                <c:pt idx="137">
                  <c:v>566</c:v>
                </c:pt>
                <c:pt idx="138">
                  <c:v>644</c:v>
                </c:pt>
                <c:pt idx="139">
                  <c:v>423</c:v>
                </c:pt>
                <c:pt idx="140">
                  <c:v>418</c:v>
                </c:pt>
                <c:pt idx="141">
                  <c:v>582</c:v>
                </c:pt>
                <c:pt idx="142">
                  <c:v>525</c:v>
                </c:pt>
                <c:pt idx="143">
                  <c:v>605</c:v>
                </c:pt>
                <c:pt idx="144">
                  <c:v>528</c:v>
                </c:pt>
                <c:pt idx="145">
                  <c:v>591</c:v>
                </c:pt>
                <c:pt idx="146">
                  <c:v>540</c:v>
                </c:pt>
                <c:pt idx="147">
                  <c:v>531</c:v>
                </c:pt>
                <c:pt idx="148">
                  <c:v>516</c:v>
                </c:pt>
                <c:pt idx="149">
                  <c:v>539</c:v>
                </c:pt>
                <c:pt idx="150">
                  <c:v>512</c:v>
                </c:pt>
                <c:pt idx="151">
                  <c:v>583</c:v>
                </c:pt>
                <c:pt idx="152">
                  <c:v>622</c:v>
                </c:pt>
                <c:pt idx="153">
                  <c:v>616</c:v>
                </c:pt>
                <c:pt idx="154">
                  <c:v>572</c:v>
                </c:pt>
                <c:pt idx="155">
                  <c:v>595</c:v>
                </c:pt>
                <c:pt idx="156">
                  <c:v>446</c:v>
                </c:pt>
                <c:pt idx="157">
                  <c:v>494</c:v>
                </c:pt>
                <c:pt idx="158">
                  <c:v>574</c:v>
                </c:pt>
                <c:pt idx="159">
                  <c:v>433</c:v>
                </c:pt>
                <c:pt idx="160">
                  <c:v>538</c:v>
                </c:pt>
                <c:pt idx="161">
                  <c:v>524</c:v>
                </c:pt>
                <c:pt idx="162">
                  <c:v>394</c:v>
                </c:pt>
                <c:pt idx="163">
                  <c:v>480</c:v>
                </c:pt>
                <c:pt idx="164">
                  <c:v>425</c:v>
                </c:pt>
                <c:pt idx="165">
                  <c:v>661</c:v>
                </c:pt>
                <c:pt idx="166">
                  <c:v>679</c:v>
                </c:pt>
                <c:pt idx="167">
                  <c:v>618</c:v>
                </c:pt>
                <c:pt idx="168">
                  <c:v>605</c:v>
                </c:pt>
                <c:pt idx="169">
                  <c:v>688</c:v>
                </c:pt>
                <c:pt idx="170">
                  <c:v>440</c:v>
                </c:pt>
                <c:pt idx="171">
                  <c:v>438</c:v>
                </c:pt>
                <c:pt idx="172">
                  <c:v>613</c:v>
                </c:pt>
                <c:pt idx="173">
                  <c:v>594</c:v>
                </c:pt>
                <c:pt idx="174">
                  <c:v>678</c:v>
                </c:pt>
                <c:pt idx="175">
                  <c:v>568</c:v>
                </c:pt>
                <c:pt idx="176">
                  <c:v>635</c:v>
                </c:pt>
                <c:pt idx="177">
                  <c:v>598</c:v>
                </c:pt>
                <c:pt idx="178">
                  <c:v>580</c:v>
                </c:pt>
                <c:pt idx="179">
                  <c:v>585</c:v>
                </c:pt>
                <c:pt idx="180">
                  <c:v>577</c:v>
                </c:pt>
              </c:numCache>
            </c:numRef>
          </c:xVal>
          <c:yVal>
            <c:numRef>
              <c:f>'Daily by Store'!$D$2:$D$182</c:f>
              <c:numCache>
                <c:formatCode>\$#,##0.00</c:formatCode>
                <c:ptCount val="181"/>
                <c:pt idx="0">
                  <c:v>868.4</c:v>
                </c:pt>
                <c:pt idx="1">
                  <c:v>925.5</c:v>
                </c:pt>
                <c:pt idx="2">
                  <c:v>902.75</c:v>
                </c:pt>
                <c:pt idx="3">
                  <c:v>808.25</c:v>
                </c:pt>
                <c:pt idx="4">
                  <c:v>903.05</c:v>
                </c:pt>
                <c:pt idx="5">
                  <c:v>716.05</c:v>
                </c:pt>
                <c:pt idx="6">
                  <c:v>807.3</c:v>
                </c:pt>
                <c:pt idx="7">
                  <c:v>793.15</c:v>
                </c:pt>
                <c:pt idx="8">
                  <c:v>774.01</c:v>
                </c:pt>
                <c:pt idx="9">
                  <c:v>947</c:v>
                </c:pt>
                <c:pt idx="10">
                  <c:v>740.15</c:v>
                </c:pt>
                <c:pt idx="11">
                  <c:v>660.7</c:v>
                </c:pt>
                <c:pt idx="12">
                  <c:v>705.8</c:v>
                </c:pt>
                <c:pt idx="13">
                  <c:v>763.7</c:v>
                </c:pt>
                <c:pt idx="14">
                  <c:v>1348.93</c:v>
                </c:pt>
                <c:pt idx="15">
                  <c:v>1027.33</c:v>
                </c:pt>
                <c:pt idx="16">
                  <c:v>1075.4000000000001</c:v>
                </c:pt>
                <c:pt idx="17">
                  <c:v>1064.03</c:v>
                </c:pt>
                <c:pt idx="18">
                  <c:v>1079.3800000000001</c:v>
                </c:pt>
                <c:pt idx="19">
                  <c:v>871.43</c:v>
                </c:pt>
                <c:pt idx="20">
                  <c:v>992.35</c:v>
                </c:pt>
                <c:pt idx="21">
                  <c:v>742.8</c:v>
                </c:pt>
                <c:pt idx="22">
                  <c:v>928.3</c:v>
                </c:pt>
                <c:pt idx="23">
                  <c:v>922.05</c:v>
                </c:pt>
                <c:pt idx="24">
                  <c:v>942</c:v>
                </c:pt>
                <c:pt idx="25">
                  <c:v>939.25</c:v>
                </c:pt>
                <c:pt idx="26">
                  <c:v>838.55</c:v>
                </c:pt>
                <c:pt idx="27">
                  <c:v>733.25</c:v>
                </c:pt>
                <c:pt idx="28">
                  <c:v>820.7</c:v>
                </c:pt>
                <c:pt idx="29">
                  <c:v>870.6</c:v>
                </c:pt>
                <c:pt idx="30">
                  <c:v>801.5</c:v>
                </c:pt>
                <c:pt idx="31">
                  <c:v>833.7</c:v>
                </c:pt>
                <c:pt idx="32">
                  <c:v>944.8</c:v>
                </c:pt>
                <c:pt idx="33">
                  <c:v>940.2</c:v>
                </c:pt>
                <c:pt idx="34">
                  <c:v>825.95</c:v>
                </c:pt>
                <c:pt idx="35">
                  <c:v>871.25</c:v>
                </c:pt>
                <c:pt idx="36">
                  <c:v>655.35</c:v>
                </c:pt>
                <c:pt idx="37">
                  <c:v>804.3</c:v>
                </c:pt>
                <c:pt idx="38">
                  <c:v>928.8</c:v>
                </c:pt>
                <c:pt idx="39">
                  <c:v>866.8</c:v>
                </c:pt>
                <c:pt idx="40">
                  <c:v>868</c:v>
                </c:pt>
                <c:pt idx="41">
                  <c:v>670.05</c:v>
                </c:pt>
                <c:pt idx="42">
                  <c:v>680.6</c:v>
                </c:pt>
                <c:pt idx="43">
                  <c:v>641.9</c:v>
                </c:pt>
                <c:pt idx="44">
                  <c:v>747.05</c:v>
                </c:pt>
                <c:pt idx="45">
                  <c:v>1254.95</c:v>
                </c:pt>
                <c:pt idx="46">
                  <c:v>1191.3</c:v>
                </c:pt>
                <c:pt idx="47">
                  <c:v>967.6</c:v>
                </c:pt>
                <c:pt idx="48">
                  <c:v>1069.53</c:v>
                </c:pt>
                <c:pt idx="49">
                  <c:v>1164.4000000000001</c:v>
                </c:pt>
                <c:pt idx="50">
                  <c:v>760.23</c:v>
                </c:pt>
                <c:pt idx="51">
                  <c:v>870.48</c:v>
                </c:pt>
                <c:pt idx="52">
                  <c:v>1037.5</c:v>
                </c:pt>
                <c:pt idx="53">
                  <c:v>904.5</c:v>
                </c:pt>
                <c:pt idx="54">
                  <c:v>986.9</c:v>
                </c:pt>
                <c:pt idx="55">
                  <c:v>813.55</c:v>
                </c:pt>
                <c:pt idx="56">
                  <c:v>1030.9000000000001</c:v>
                </c:pt>
                <c:pt idx="57">
                  <c:v>931.85</c:v>
                </c:pt>
                <c:pt idx="58">
                  <c:v>842.9</c:v>
                </c:pt>
                <c:pt idx="59">
                  <c:v>1021.1</c:v>
                </c:pt>
                <c:pt idx="60">
                  <c:v>1088.4000000000001</c:v>
                </c:pt>
                <c:pt idx="61">
                  <c:v>1160.3499999999999</c:v>
                </c:pt>
                <c:pt idx="62">
                  <c:v>1008.75</c:v>
                </c:pt>
                <c:pt idx="63">
                  <c:v>1097.1500000000001</c:v>
                </c:pt>
                <c:pt idx="64">
                  <c:v>732.75</c:v>
                </c:pt>
                <c:pt idx="65">
                  <c:v>921.3</c:v>
                </c:pt>
                <c:pt idx="66">
                  <c:v>1209.08</c:v>
                </c:pt>
                <c:pt idx="67">
                  <c:v>908.83</c:v>
                </c:pt>
                <c:pt idx="68">
                  <c:v>1081.2</c:v>
                </c:pt>
                <c:pt idx="69">
                  <c:v>995.25</c:v>
                </c:pt>
                <c:pt idx="70">
                  <c:v>664.13</c:v>
                </c:pt>
                <c:pt idx="71">
                  <c:v>846.1</c:v>
                </c:pt>
                <c:pt idx="72">
                  <c:v>966.55</c:v>
                </c:pt>
                <c:pt idx="73">
                  <c:v>1417.45</c:v>
                </c:pt>
                <c:pt idx="74">
                  <c:v>1149.1300000000001</c:v>
                </c:pt>
                <c:pt idx="75">
                  <c:v>1440.45</c:v>
                </c:pt>
                <c:pt idx="76">
                  <c:v>1207.58</c:v>
                </c:pt>
                <c:pt idx="77">
                  <c:v>1488.5</c:v>
                </c:pt>
                <c:pt idx="78">
                  <c:v>1113.08</c:v>
                </c:pt>
                <c:pt idx="79">
                  <c:v>835.85</c:v>
                </c:pt>
                <c:pt idx="80">
                  <c:v>1124.55</c:v>
                </c:pt>
                <c:pt idx="81">
                  <c:v>1060.55</c:v>
                </c:pt>
                <c:pt idx="82">
                  <c:v>1123.2</c:v>
                </c:pt>
                <c:pt idx="83">
                  <c:v>1025.75</c:v>
                </c:pt>
                <c:pt idx="84">
                  <c:v>1208.6500000000001</c:v>
                </c:pt>
                <c:pt idx="85">
                  <c:v>1124</c:v>
                </c:pt>
                <c:pt idx="86">
                  <c:v>954.75</c:v>
                </c:pt>
                <c:pt idx="87">
                  <c:v>978.8</c:v>
                </c:pt>
                <c:pt idx="88">
                  <c:v>967.05</c:v>
                </c:pt>
                <c:pt idx="89">
                  <c:v>915.15</c:v>
                </c:pt>
                <c:pt idx="90">
                  <c:v>1316.5</c:v>
                </c:pt>
                <c:pt idx="91">
                  <c:v>1351.35</c:v>
                </c:pt>
                <c:pt idx="92">
                  <c:v>1333.4</c:v>
                </c:pt>
                <c:pt idx="93">
                  <c:v>1150.75</c:v>
                </c:pt>
                <c:pt idx="94">
                  <c:v>1242.1500000000001</c:v>
                </c:pt>
                <c:pt idx="95">
                  <c:v>1002.95</c:v>
                </c:pt>
                <c:pt idx="96">
                  <c:v>1138.5999999999999</c:v>
                </c:pt>
                <c:pt idx="97">
                  <c:v>1631.93</c:v>
                </c:pt>
                <c:pt idx="98">
                  <c:v>1192.18</c:v>
                </c:pt>
                <c:pt idx="99">
                  <c:v>1355.45</c:v>
                </c:pt>
                <c:pt idx="100">
                  <c:v>1295</c:v>
                </c:pt>
                <c:pt idx="101">
                  <c:v>958.63</c:v>
                </c:pt>
                <c:pt idx="102">
                  <c:v>1069.7</c:v>
                </c:pt>
                <c:pt idx="103">
                  <c:v>1195.83</c:v>
                </c:pt>
                <c:pt idx="104">
                  <c:v>1622.66</c:v>
                </c:pt>
                <c:pt idx="105">
                  <c:v>1482.08</c:v>
                </c:pt>
                <c:pt idx="106">
                  <c:v>1543.6</c:v>
                </c:pt>
                <c:pt idx="107">
                  <c:v>1608.79</c:v>
                </c:pt>
                <c:pt idx="108">
                  <c:v>1738.93</c:v>
                </c:pt>
                <c:pt idx="109">
                  <c:v>1163.95</c:v>
                </c:pt>
                <c:pt idx="110">
                  <c:v>1101.8800000000001</c:v>
                </c:pt>
                <c:pt idx="111">
                  <c:v>1291.95</c:v>
                </c:pt>
                <c:pt idx="112">
                  <c:v>1384.05</c:v>
                </c:pt>
                <c:pt idx="113">
                  <c:v>1539.8</c:v>
                </c:pt>
                <c:pt idx="114">
                  <c:v>1306.0999999999999</c:v>
                </c:pt>
                <c:pt idx="115">
                  <c:v>1447.5</c:v>
                </c:pt>
                <c:pt idx="116">
                  <c:v>1439.55</c:v>
                </c:pt>
                <c:pt idx="117">
                  <c:v>1172.7</c:v>
                </c:pt>
                <c:pt idx="118">
                  <c:v>1124.05</c:v>
                </c:pt>
                <c:pt idx="119">
                  <c:v>1275.5999999999999</c:v>
                </c:pt>
                <c:pt idx="120">
                  <c:v>1657.65</c:v>
                </c:pt>
                <c:pt idx="121">
                  <c:v>1758.45</c:v>
                </c:pt>
                <c:pt idx="122">
                  <c:v>1760.45</c:v>
                </c:pt>
                <c:pt idx="123">
                  <c:v>1709.85</c:v>
                </c:pt>
                <c:pt idx="124">
                  <c:v>1726.65</c:v>
                </c:pt>
                <c:pt idx="125">
                  <c:v>1293.05</c:v>
                </c:pt>
                <c:pt idx="126">
                  <c:v>1416.6</c:v>
                </c:pt>
                <c:pt idx="127">
                  <c:v>1967.68</c:v>
                </c:pt>
                <c:pt idx="128">
                  <c:v>1362.11</c:v>
                </c:pt>
                <c:pt idx="129">
                  <c:v>1716.9</c:v>
                </c:pt>
                <c:pt idx="130">
                  <c:v>1395</c:v>
                </c:pt>
                <c:pt idx="131">
                  <c:v>1175.08</c:v>
                </c:pt>
                <c:pt idx="132">
                  <c:v>1299.8499999999999</c:v>
                </c:pt>
                <c:pt idx="133">
                  <c:v>1482</c:v>
                </c:pt>
                <c:pt idx="134">
                  <c:v>2180.88</c:v>
                </c:pt>
                <c:pt idx="135">
                  <c:v>2042.15</c:v>
                </c:pt>
                <c:pt idx="136">
                  <c:v>1942.5</c:v>
                </c:pt>
                <c:pt idx="137">
                  <c:v>1965.94</c:v>
                </c:pt>
                <c:pt idx="138">
                  <c:v>2184.6999999999998</c:v>
                </c:pt>
                <c:pt idx="139">
                  <c:v>1798.73</c:v>
                </c:pt>
                <c:pt idx="140">
                  <c:v>1568.78</c:v>
                </c:pt>
                <c:pt idx="141">
                  <c:v>1773.15</c:v>
                </c:pt>
                <c:pt idx="142">
                  <c:v>1653.1</c:v>
                </c:pt>
                <c:pt idx="143">
                  <c:v>1889.65</c:v>
                </c:pt>
                <c:pt idx="144">
                  <c:v>1628.15</c:v>
                </c:pt>
                <c:pt idx="145">
                  <c:v>1826.65</c:v>
                </c:pt>
                <c:pt idx="146">
                  <c:v>1661.05</c:v>
                </c:pt>
                <c:pt idx="147">
                  <c:v>1612.85</c:v>
                </c:pt>
                <c:pt idx="148">
                  <c:v>1637.1</c:v>
                </c:pt>
                <c:pt idx="149">
                  <c:v>1670.95</c:v>
                </c:pt>
                <c:pt idx="150">
                  <c:v>1671.11</c:v>
                </c:pt>
                <c:pt idx="151">
                  <c:v>1794.85</c:v>
                </c:pt>
                <c:pt idx="152">
                  <c:v>1915.45</c:v>
                </c:pt>
                <c:pt idx="153">
                  <c:v>1953.5</c:v>
                </c:pt>
                <c:pt idx="154">
                  <c:v>1760.9</c:v>
                </c:pt>
                <c:pt idx="155">
                  <c:v>1842.45</c:v>
                </c:pt>
                <c:pt idx="156">
                  <c:v>1397.1</c:v>
                </c:pt>
                <c:pt idx="157">
                  <c:v>1555.55</c:v>
                </c:pt>
                <c:pt idx="158">
                  <c:v>2168.6799999999998</c:v>
                </c:pt>
                <c:pt idx="159">
                  <c:v>1518.48</c:v>
                </c:pt>
                <c:pt idx="160">
                  <c:v>1749.45</c:v>
                </c:pt>
                <c:pt idx="161">
                  <c:v>1703.65</c:v>
                </c:pt>
                <c:pt idx="162">
                  <c:v>1244.5999999999999</c:v>
                </c:pt>
                <c:pt idx="163">
                  <c:v>1439.45</c:v>
                </c:pt>
                <c:pt idx="164">
                  <c:v>1588.55</c:v>
                </c:pt>
                <c:pt idx="165">
                  <c:v>2373.21</c:v>
                </c:pt>
                <c:pt idx="166">
                  <c:v>2229.8000000000002</c:v>
                </c:pt>
                <c:pt idx="167">
                  <c:v>2072.65</c:v>
                </c:pt>
                <c:pt idx="168">
                  <c:v>2044.88</c:v>
                </c:pt>
                <c:pt idx="169">
                  <c:v>2546.4299999999998</c:v>
                </c:pt>
                <c:pt idx="170">
                  <c:v>1679.38</c:v>
                </c:pt>
                <c:pt idx="171">
                  <c:v>1614.25</c:v>
                </c:pt>
                <c:pt idx="172">
                  <c:v>1912.05</c:v>
                </c:pt>
                <c:pt idx="173">
                  <c:v>1864.4</c:v>
                </c:pt>
                <c:pt idx="174">
                  <c:v>2117.5500000000002</c:v>
                </c:pt>
                <c:pt idx="175">
                  <c:v>1740.7</c:v>
                </c:pt>
                <c:pt idx="176">
                  <c:v>1975.1</c:v>
                </c:pt>
                <c:pt idx="177">
                  <c:v>1861.55</c:v>
                </c:pt>
                <c:pt idx="178">
                  <c:v>1758.1</c:v>
                </c:pt>
                <c:pt idx="179">
                  <c:v>1852.75</c:v>
                </c:pt>
                <c:pt idx="180">
                  <c:v>1807.65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3EC-4675-BD2F-3F080FD5C4F3}"/>
            </c:ext>
          </c:extLst>
        </c:ser>
        <c:ser>
          <c:idx val="1"/>
          <c:order val="1"/>
          <c:tx>
            <c:v>Hell's Kitchen</c:v>
          </c:tx>
          <c:spPr>
            <a:ln w="47520">
              <a:noFill/>
            </a:ln>
          </c:spPr>
          <c:marker>
            <c:symbol val="circle"/>
            <c:size val="6"/>
            <c:spPr>
              <a:solidFill>
                <a:srgbClr val="C0574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'Daily by Store'!$C$183:$C$363</c:f>
              <c:numCache>
                <c:formatCode>General</c:formatCode>
                <c:ptCount val="181"/>
                <c:pt idx="0">
                  <c:v>270</c:v>
                </c:pt>
                <c:pt idx="1">
                  <c:v>272</c:v>
                </c:pt>
                <c:pt idx="2">
                  <c:v>295</c:v>
                </c:pt>
                <c:pt idx="3">
                  <c:v>256</c:v>
                </c:pt>
                <c:pt idx="4">
                  <c:v>235</c:v>
                </c:pt>
                <c:pt idx="5">
                  <c:v>256</c:v>
                </c:pt>
                <c:pt idx="6">
                  <c:v>323</c:v>
                </c:pt>
                <c:pt idx="7">
                  <c:v>277</c:v>
                </c:pt>
                <c:pt idx="8">
                  <c:v>272</c:v>
                </c:pt>
                <c:pt idx="9">
                  <c:v>273</c:v>
                </c:pt>
                <c:pt idx="10">
                  <c:v>295</c:v>
                </c:pt>
                <c:pt idx="11">
                  <c:v>251</c:v>
                </c:pt>
                <c:pt idx="12">
                  <c:v>409</c:v>
                </c:pt>
                <c:pt idx="13">
                  <c:v>326</c:v>
                </c:pt>
                <c:pt idx="14">
                  <c:v>280</c:v>
                </c:pt>
                <c:pt idx="15">
                  <c:v>277</c:v>
                </c:pt>
                <c:pt idx="16">
                  <c:v>214</c:v>
                </c:pt>
                <c:pt idx="17">
                  <c:v>263</c:v>
                </c:pt>
                <c:pt idx="18">
                  <c:v>293</c:v>
                </c:pt>
                <c:pt idx="19">
                  <c:v>284</c:v>
                </c:pt>
                <c:pt idx="20">
                  <c:v>318</c:v>
                </c:pt>
                <c:pt idx="21">
                  <c:v>196</c:v>
                </c:pt>
                <c:pt idx="22">
                  <c:v>304</c:v>
                </c:pt>
                <c:pt idx="23">
                  <c:v>242</c:v>
                </c:pt>
                <c:pt idx="24">
                  <c:v>258</c:v>
                </c:pt>
                <c:pt idx="25">
                  <c:v>255</c:v>
                </c:pt>
                <c:pt idx="26">
                  <c:v>264</c:v>
                </c:pt>
                <c:pt idx="27">
                  <c:v>227</c:v>
                </c:pt>
                <c:pt idx="28">
                  <c:v>195</c:v>
                </c:pt>
                <c:pt idx="29">
                  <c:v>242</c:v>
                </c:pt>
                <c:pt idx="30">
                  <c:v>218</c:v>
                </c:pt>
                <c:pt idx="31">
                  <c:v>269</c:v>
                </c:pt>
                <c:pt idx="32">
                  <c:v>287</c:v>
                </c:pt>
                <c:pt idx="33">
                  <c:v>291</c:v>
                </c:pt>
                <c:pt idx="34">
                  <c:v>278</c:v>
                </c:pt>
                <c:pt idx="35">
                  <c:v>233</c:v>
                </c:pt>
                <c:pt idx="36">
                  <c:v>264</c:v>
                </c:pt>
                <c:pt idx="37">
                  <c:v>292</c:v>
                </c:pt>
                <c:pt idx="38">
                  <c:v>298</c:v>
                </c:pt>
                <c:pt idx="39">
                  <c:v>292</c:v>
                </c:pt>
                <c:pt idx="40">
                  <c:v>326</c:v>
                </c:pt>
                <c:pt idx="41">
                  <c:v>307</c:v>
                </c:pt>
                <c:pt idx="42">
                  <c:v>326</c:v>
                </c:pt>
                <c:pt idx="43">
                  <c:v>363</c:v>
                </c:pt>
                <c:pt idx="44">
                  <c:v>349</c:v>
                </c:pt>
                <c:pt idx="45">
                  <c:v>254</c:v>
                </c:pt>
                <c:pt idx="46">
                  <c:v>265</c:v>
                </c:pt>
                <c:pt idx="47">
                  <c:v>209</c:v>
                </c:pt>
                <c:pt idx="48">
                  <c:v>297</c:v>
                </c:pt>
                <c:pt idx="49">
                  <c:v>331</c:v>
                </c:pt>
                <c:pt idx="50">
                  <c:v>316</c:v>
                </c:pt>
                <c:pt idx="51">
                  <c:v>307</c:v>
                </c:pt>
                <c:pt idx="52">
                  <c:v>254</c:v>
                </c:pt>
                <c:pt idx="53">
                  <c:v>240</c:v>
                </c:pt>
                <c:pt idx="54">
                  <c:v>256</c:v>
                </c:pt>
                <c:pt idx="55">
                  <c:v>255</c:v>
                </c:pt>
                <c:pt idx="56">
                  <c:v>269</c:v>
                </c:pt>
                <c:pt idx="57">
                  <c:v>272</c:v>
                </c:pt>
                <c:pt idx="58">
                  <c:v>237</c:v>
                </c:pt>
                <c:pt idx="59">
                  <c:v>330</c:v>
                </c:pt>
                <c:pt idx="60">
                  <c:v>331</c:v>
                </c:pt>
                <c:pt idx="61">
                  <c:v>328</c:v>
                </c:pt>
                <c:pt idx="62">
                  <c:v>281</c:v>
                </c:pt>
                <c:pt idx="63">
                  <c:v>299</c:v>
                </c:pt>
                <c:pt idx="64">
                  <c:v>306</c:v>
                </c:pt>
                <c:pt idx="65">
                  <c:v>374</c:v>
                </c:pt>
                <c:pt idx="66">
                  <c:v>357</c:v>
                </c:pt>
                <c:pt idx="67">
                  <c:v>399</c:v>
                </c:pt>
                <c:pt idx="68">
                  <c:v>384</c:v>
                </c:pt>
                <c:pt idx="69">
                  <c:v>363</c:v>
                </c:pt>
                <c:pt idx="70">
                  <c:v>370</c:v>
                </c:pt>
                <c:pt idx="71">
                  <c:v>423</c:v>
                </c:pt>
                <c:pt idx="72">
                  <c:v>380</c:v>
                </c:pt>
                <c:pt idx="73">
                  <c:v>317</c:v>
                </c:pt>
                <c:pt idx="74">
                  <c:v>350</c:v>
                </c:pt>
                <c:pt idx="75">
                  <c:v>236</c:v>
                </c:pt>
                <c:pt idx="76">
                  <c:v>337</c:v>
                </c:pt>
                <c:pt idx="77">
                  <c:v>340</c:v>
                </c:pt>
                <c:pt idx="78">
                  <c:v>351</c:v>
                </c:pt>
                <c:pt idx="79">
                  <c:v>394</c:v>
                </c:pt>
                <c:pt idx="80">
                  <c:v>277</c:v>
                </c:pt>
                <c:pt idx="81">
                  <c:v>325</c:v>
                </c:pt>
                <c:pt idx="82">
                  <c:v>300</c:v>
                </c:pt>
                <c:pt idx="83">
                  <c:v>297</c:v>
                </c:pt>
                <c:pt idx="84">
                  <c:v>287</c:v>
                </c:pt>
                <c:pt idx="85">
                  <c:v>380</c:v>
                </c:pt>
                <c:pt idx="86">
                  <c:v>280</c:v>
                </c:pt>
                <c:pt idx="87">
                  <c:v>221</c:v>
                </c:pt>
                <c:pt idx="88">
                  <c:v>291</c:v>
                </c:pt>
                <c:pt idx="89">
                  <c:v>290</c:v>
                </c:pt>
                <c:pt idx="90">
                  <c:v>390</c:v>
                </c:pt>
                <c:pt idx="91">
                  <c:v>399</c:v>
                </c:pt>
                <c:pt idx="92">
                  <c:v>367</c:v>
                </c:pt>
                <c:pt idx="93">
                  <c:v>355</c:v>
                </c:pt>
                <c:pt idx="94">
                  <c:v>356</c:v>
                </c:pt>
                <c:pt idx="95">
                  <c:v>389</c:v>
                </c:pt>
                <c:pt idx="96">
                  <c:v>490</c:v>
                </c:pt>
                <c:pt idx="97">
                  <c:v>443</c:v>
                </c:pt>
                <c:pt idx="98">
                  <c:v>460</c:v>
                </c:pt>
                <c:pt idx="99">
                  <c:v>425</c:v>
                </c:pt>
                <c:pt idx="100">
                  <c:v>420</c:v>
                </c:pt>
                <c:pt idx="101">
                  <c:v>476</c:v>
                </c:pt>
                <c:pt idx="102">
                  <c:v>547</c:v>
                </c:pt>
                <c:pt idx="103">
                  <c:v>483</c:v>
                </c:pt>
                <c:pt idx="104">
                  <c:v>372</c:v>
                </c:pt>
                <c:pt idx="105">
                  <c:v>461</c:v>
                </c:pt>
                <c:pt idx="106">
                  <c:v>291</c:v>
                </c:pt>
                <c:pt idx="107">
                  <c:v>470</c:v>
                </c:pt>
                <c:pt idx="108">
                  <c:v>418</c:v>
                </c:pt>
                <c:pt idx="109">
                  <c:v>422</c:v>
                </c:pt>
                <c:pt idx="110">
                  <c:v>466</c:v>
                </c:pt>
                <c:pt idx="111">
                  <c:v>315</c:v>
                </c:pt>
                <c:pt idx="112">
                  <c:v>396</c:v>
                </c:pt>
                <c:pt idx="113">
                  <c:v>348</c:v>
                </c:pt>
                <c:pt idx="114">
                  <c:v>376</c:v>
                </c:pt>
                <c:pt idx="115">
                  <c:v>417</c:v>
                </c:pt>
                <c:pt idx="116">
                  <c:v>462</c:v>
                </c:pt>
                <c:pt idx="117">
                  <c:v>344</c:v>
                </c:pt>
                <c:pt idx="118">
                  <c:v>290</c:v>
                </c:pt>
                <c:pt idx="119">
                  <c:v>346</c:v>
                </c:pt>
                <c:pt idx="120">
                  <c:v>512</c:v>
                </c:pt>
                <c:pt idx="121">
                  <c:v>517</c:v>
                </c:pt>
                <c:pt idx="122">
                  <c:v>503</c:v>
                </c:pt>
                <c:pt idx="123">
                  <c:v>467</c:v>
                </c:pt>
                <c:pt idx="124">
                  <c:v>463</c:v>
                </c:pt>
                <c:pt idx="125">
                  <c:v>478</c:v>
                </c:pt>
                <c:pt idx="126">
                  <c:v>635</c:v>
                </c:pt>
                <c:pt idx="127">
                  <c:v>560</c:v>
                </c:pt>
                <c:pt idx="128">
                  <c:v>608</c:v>
                </c:pt>
                <c:pt idx="129">
                  <c:v>586</c:v>
                </c:pt>
                <c:pt idx="130">
                  <c:v>562</c:v>
                </c:pt>
                <c:pt idx="131">
                  <c:v>583</c:v>
                </c:pt>
                <c:pt idx="132">
                  <c:v>684</c:v>
                </c:pt>
                <c:pt idx="133">
                  <c:v>561</c:v>
                </c:pt>
                <c:pt idx="134">
                  <c:v>480</c:v>
                </c:pt>
                <c:pt idx="135">
                  <c:v>541</c:v>
                </c:pt>
                <c:pt idx="136">
                  <c:v>359</c:v>
                </c:pt>
                <c:pt idx="137">
                  <c:v>583</c:v>
                </c:pt>
                <c:pt idx="138">
                  <c:v>561</c:v>
                </c:pt>
                <c:pt idx="139">
                  <c:v>568</c:v>
                </c:pt>
                <c:pt idx="140">
                  <c:v>605</c:v>
                </c:pt>
                <c:pt idx="141">
                  <c:v>442</c:v>
                </c:pt>
                <c:pt idx="142">
                  <c:v>544</c:v>
                </c:pt>
                <c:pt idx="143">
                  <c:v>444</c:v>
                </c:pt>
                <c:pt idx="144">
                  <c:v>456</c:v>
                </c:pt>
                <c:pt idx="145">
                  <c:v>451</c:v>
                </c:pt>
                <c:pt idx="146">
                  <c:v>582</c:v>
                </c:pt>
                <c:pt idx="147">
                  <c:v>404</c:v>
                </c:pt>
                <c:pt idx="148">
                  <c:v>363</c:v>
                </c:pt>
                <c:pt idx="149">
                  <c:v>426</c:v>
                </c:pt>
                <c:pt idx="150">
                  <c:v>416</c:v>
                </c:pt>
                <c:pt idx="151">
                  <c:v>582</c:v>
                </c:pt>
                <c:pt idx="152">
                  <c:v>555</c:v>
                </c:pt>
                <c:pt idx="153">
                  <c:v>522</c:v>
                </c:pt>
                <c:pt idx="154">
                  <c:v>529</c:v>
                </c:pt>
                <c:pt idx="155">
                  <c:v>495</c:v>
                </c:pt>
                <c:pt idx="156">
                  <c:v>533</c:v>
                </c:pt>
                <c:pt idx="157">
                  <c:v>652</c:v>
                </c:pt>
                <c:pt idx="158">
                  <c:v>623</c:v>
                </c:pt>
                <c:pt idx="159">
                  <c:v>693</c:v>
                </c:pt>
                <c:pt idx="160">
                  <c:v>612</c:v>
                </c:pt>
                <c:pt idx="161">
                  <c:v>636</c:v>
                </c:pt>
                <c:pt idx="162">
                  <c:v>644</c:v>
                </c:pt>
                <c:pt idx="163">
                  <c:v>769</c:v>
                </c:pt>
                <c:pt idx="164">
                  <c:v>672</c:v>
                </c:pt>
                <c:pt idx="165">
                  <c:v>549</c:v>
                </c:pt>
                <c:pt idx="166">
                  <c:v>597</c:v>
                </c:pt>
                <c:pt idx="167">
                  <c:v>397</c:v>
                </c:pt>
                <c:pt idx="168">
                  <c:v>638</c:v>
                </c:pt>
                <c:pt idx="169">
                  <c:v>624</c:v>
                </c:pt>
                <c:pt idx="170">
                  <c:v>575</c:v>
                </c:pt>
                <c:pt idx="171">
                  <c:v>671</c:v>
                </c:pt>
                <c:pt idx="172">
                  <c:v>469</c:v>
                </c:pt>
                <c:pt idx="173">
                  <c:v>570</c:v>
                </c:pt>
                <c:pt idx="174">
                  <c:v>511</c:v>
                </c:pt>
                <c:pt idx="175">
                  <c:v>527</c:v>
                </c:pt>
                <c:pt idx="176">
                  <c:v>528</c:v>
                </c:pt>
                <c:pt idx="177">
                  <c:v>594</c:v>
                </c:pt>
                <c:pt idx="178">
                  <c:v>459</c:v>
                </c:pt>
                <c:pt idx="179">
                  <c:v>420</c:v>
                </c:pt>
                <c:pt idx="180">
                  <c:v>478</c:v>
                </c:pt>
              </c:numCache>
            </c:numRef>
          </c:xVal>
          <c:yVal>
            <c:numRef>
              <c:f>'Daily by Store'!$D$183:$D$363</c:f>
              <c:numCache>
                <c:formatCode>\$#,##0.00</c:formatCode>
                <c:ptCount val="181"/>
                <c:pt idx="0">
                  <c:v>851.45</c:v>
                </c:pt>
                <c:pt idx="1">
                  <c:v>828.8</c:v>
                </c:pt>
                <c:pt idx="2">
                  <c:v>906.25</c:v>
                </c:pt>
                <c:pt idx="3">
                  <c:v>781.65</c:v>
                </c:pt>
                <c:pt idx="4">
                  <c:v>714.9</c:v>
                </c:pt>
                <c:pt idx="5">
                  <c:v>767.2</c:v>
                </c:pt>
                <c:pt idx="6">
                  <c:v>1024.0999999999999</c:v>
                </c:pt>
                <c:pt idx="7">
                  <c:v>872.83</c:v>
                </c:pt>
                <c:pt idx="8">
                  <c:v>894.4</c:v>
                </c:pt>
                <c:pt idx="9">
                  <c:v>808.1</c:v>
                </c:pt>
                <c:pt idx="10">
                  <c:v>974.55</c:v>
                </c:pt>
                <c:pt idx="11">
                  <c:v>751.9</c:v>
                </c:pt>
                <c:pt idx="12">
                  <c:v>1362.6</c:v>
                </c:pt>
                <c:pt idx="13">
                  <c:v>1143.81</c:v>
                </c:pt>
                <c:pt idx="14">
                  <c:v>962.43</c:v>
                </c:pt>
                <c:pt idx="15">
                  <c:v>951.15</c:v>
                </c:pt>
                <c:pt idx="16">
                  <c:v>1421.5</c:v>
                </c:pt>
                <c:pt idx="17">
                  <c:v>846.1</c:v>
                </c:pt>
                <c:pt idx="18">
                  <c:v>1046.25</c:v>
                </c:pt>
                <c:pt idx="19">
                  <c:v>940.75</c:v>
                </c:pt>
                <c:pt idx="20">
                  <c:v>1075.5</c:v>
                </c:pt>
                <c:pt idx="21">
                  <c:v>621.45000000000005</c:v>
                </c:pt>
                <c:pt idx="22">
                  <c:v>1026.0999999999999</c:v>
                </c:pt>
                <c:pt idx="23">
                  <c:v>841.1</c:v>
                </c:pt>
                <c:pt idx="24">
                  <c:v>840.7</c:v>
                </c:pt>
                <c:pt idx="25">
                  <c:v>856.43</c:v>
                </c:pt>
                <c:pt idx="26">
                  <c:v>760.05</c:v>
                </c:pt>
                <c:pt idx="27">
                  <c:v>699.65</c:v>
                </c:pt>
                <c:pt idx="28">
                  <c:v>612.15</c:v>
                </c:pt>
                <c:pt idx="29">
                  <c:v>868.4</c:v>
                </c:pt>
                <c:pt idx="30">
                  <c:v>768.4</c:v>
                </c:pt>
                <c:pt idx="31">
                  <c:v>849.4</c:v>
                </c:pt>
                <c:pt idx="32">
                  <c:v>883.95</c:v>
                </c:pt>
                <c:pt idx="33">
                  <c:v>896</c:v>
                </c:pt>
                <c:pt idx="34">
                  <c:v>844.65</c:v>
                </c:pt>
                <c:pt idx="35">
                  <c:v>709.35</c:v>
                </c:pt>
                <c:pt idx="36">
                  <c:v>796.15</c:v>
                </c:pt>
                <c:pt idx="37">
                  <c:v>893.25</c:v>
                </c:pt>
                <c:pt idx="38">
                  <c:v>949.93</c:v>
                </c:pt>
                <c:pt idx="39">
                  <c:v>859.25</c:v>
                </c:pt>
                <c:pt idx="40">
                  <c:v>1072.3</c:v>
                </c:pt>
                <c:pt idx="41">
                  <c:v>1031.21</c:v>
                </c:pt>
                <c:pt idx="42">
                  <c:v>1125.8</c:v>
                </c:pt>
                <c:pt idx="43">
                  <c:v>1185.1500000000001</c:v>
                </c:pt>
                <c:pt idx="44">
                  <c:v>1163.6500000000001</c:v>
                </c:pt>
                <c:pt idx="45">
                  <c:v>850.25</c:v>
                </c:pt>
                <c:pt idx="46">
                  <c:v>908.23</c:v>
                </c:pt>
                <c:pt idx="47">
                  <c:v>637.6</c:v>
                </c:pt>
                <c:pt idx="48">
                  <c:v>1049.5</c:v>
                </c:pt>
                <c:pt idx="49">
                  <c:v>1164.2</c:v>
                </c:pt>
                <c:pt idx="50">
                  <c:v>1066.6500000000001</c:v>
                </c:pt>
                <c:pt idx="51">
                  <c:v>958.65</c:v>
                </c:pt>
                <c:pt idx="52">
                  <c:v>830.7</c:v>
                </c:pt>
                <c:pt idx="53">
                  <c:v>888.98</c:v>
                </c:pt>
                <c:pt idx="54">
                  <c:v>815.1</c:v>
                </c:pt>
                <c:pt idx="55">
                  <c:v>853.35</c:v>
                </c:pt>
                <c:pt idx="56">
                  <c:v>928.45</c:v>
                </c:pt>
                <c:pt idx="57">
                  <c:v>758.9</c:v>
                </c:pt>
                <c:pt idx="58">
                  <c:v>749.2</c:v>
                </c:pt>
                <c:pt idx="59">
                  <c:v>1040.45</c:v>
                </c:pt>
                <c:pt idx="60">
                  <c:v>1020.75</c:v>
                </c:pt>
                <c:pt idx="61">
                  <c:v>1037.55</c:v>
                </c:pt>
                <c:pt idx="62">
                  <c:v>868.4</c:v>
                </c:pt>
                <c:pt idx="63">
                  <c:v>904</c:v>
                </c:pt>
                <c:pt idx="64">
                  <c:v>934.95</c:v>
                </c:pt>
                <c:pt idx="65">
                  <c:v>1136.05</c:v>
                </c:pt>
                <c:pt idx="66">
                  <c:v>1184.08</c:v>
                </c:pt>
                <c:pt idx="67">
                  <c:v>1268.7</c:v>
                </c:pt>
                <c:pt idx="68">
                  <c:v>1252.18</c:v>
                </c:pt>
                <c:pt idx="69">
                  <c:v>1140.8</c:v>
                </c:pt>
                <c:pt idx="70">
                  <c:v>1278.05</c:v>
                </c:pt>
                <c:pt idx="71">
                  <c:v>1440.9</c:v>
                </c:pt>
                <c:pt idx="72">
                  <c:v>1379.83</c:v>
                </c:pt>
                <c:pt idx="73">
                  <c:v>1005.28</c:v>
                </c:pt>
                <c:pt idx="74">
                  <c:v>1142.43</c:v>
                </c:pt>
                <c:pt idx="75">
                  <c:v>788.45</c:v>
                </c:pt>
                <c:pt idx="76">
                  <c:v>1163.25</c:v>
                </c:pt>
                <c:pt idx="77">
                  <c:v>1085.18</c:v>
                </c:pt>
                <c:pt idx="78">
                  <c:v>1114.0999999999999</c:v>
                </c:pt>
                <c:pt idx="79">
                  <c:v>1316.7</c:v>
                </c:pt>
                <c:pt idx="80">
                  <c:v>923.9</c:v>
                </c:pt>
                <c:pt idx="81">
                  <c:v>1142.33</c:v>
                </c:pt>
                <c:pt idx="82">
                  <c:v>1015.9</c:v>
                </c:pt>
                <c:pt idx="83">
                  <c:v>1006.3</c:v>
                </c:pt>
                <c:pt idx="84">
                  <c:v>971.63</c:v>
                </c:pt>
                <c:pt idx="85">
                  <c:v>1060.5999999999999</c:v>
                </c:pt>
                <c:pt idx="86">
                  <c:v>892.55</c:v>
                </c:pt>
                <c:pt idx="87">
                  <c:v>672.9</c:v>
                </c:pt>
                <c:pt idx="88">
                  <c:v>998.98</c:v>
                </c:pt>
                <c:pt idx="89">
                  <c:v>923.4</c:v>
                </c:pt>
                <c:pt idx="90">
                  <c:v>1215.3499999999999</c:v>
                </c:pt>
                <c:pt idx="91">
                  <c:v>1222.3</c:v>
                </c:pt>
                <c:pt idx="92">
                  <c:v>1144</c:v>
                </c:pt>
                <c:pt idx="93">
                  <c:v>1084.55</c:v>
                </c:pt>
                <c:pt idx="94">
                  <c:v>1108.3</c:v>
                </c:pt>
                <c:pt idx="95">
                  <c:v>1167</c:v>
                </c:pt>
                <c:pt idx="96">
                  <c:v>1529.45</c:v>
                </c:pt>
                <c:pt idx="97">
                  <c:v>1427.78</c:v>
                </c:pt>
                <c:pt idx="98">
                  <c:v>1431.4</c:v>
                </c:pt>
                <c:pt idx="99">
                  <c:v>1411.05</c:v>
                </c:pt>
                <c:pt idx="100">
                  <c:v>1362.03</c:v>
                </c:pt>
                <c:pt idx="101">
                  <c:v>1569</c:v>
                </c:pt>
                <c:pt idx="102">
                  <c:v>1797.4</c:v>
                </c:pt>
                <c:pt idx="103">
                  <c:v>1818.46</c:v>
                </c:pt>
                <c:pt idx="104">
                  <c:v>1229.08</c:v>
                </c:pt>
                <c:pt idx="105">
                  <c:v>1555.43</c:v>
                </c:pt>
                <c:pt idx="106">
                  <c:v>1638.45</c:v>
                </c:pt>
                <c:pt idx="107">
                  <c:v>1580.6</c:v>
                </c:pt>
                <c:pt idx="108">
                  <c:v>1449.18</c:v>
                </c:pt>
                <c:pt idx="109">
                  <c:v>1317.4</c:v>
                </c:pt>
                <c:pt idx="110">
                  <c:v>1521.85</c:v>
                </c:pt>
                <c:pt idx="111">
                  <c:v>1035.45</c:v>
                </c:pt>
                <c:pt idx="112">
                  <c:v>1414.48</c:v>
                </c:pt>
                <c:pt idx="113">
                  <c:v>1166.75</c:v>
                </c:pt>
                <c:pt idx="114">
                  <c:v>1284.55</c:v>
                </c:pt>
                <c:pt idx="115">
                  <c:v>1427.5</c:v>
                </c:pt>
                <c:pt idx="116">
                  <c:v>1301.45</c:v>
                </c:pt>
                <c:pt idx="117">
                  <c:v>1089.95</c:v>
                </c:pt>
                <c:pt idx="118">
                  <c:v>892.55</c:v>
                </c:pt>
                <c:pt idx="119">
                  <c:v>1111.4000000000001</c:v>
                </c:pt>
                <c:pt idx="120">
                  <c:v>1598.4</c:v>
                </c:pt>
                <c:pt idx="121">
                  <c:v>1590.55</c:v>
                </c:pt>
                <c:pt idx="122">
                  <c:v>1552.5</c:v>
                </c:pt>
                <c:pt idx="123">
                  <c:v>1448.55</c:v>
                </c:pt>
                <c:pt idx="124">
                  <c:v>1445.7</c:v>
                </c:pt>
                <c:pt idx="125">
                  <c:v>1433.1</c:v>
                </c:pt>
                <c:pt idx="126">
                  <c:v>1957.55</c:v>
                </c:pt>
                <c:pt idx="127">
                  <c:v>1767.38</c:v>
                </c:pt>
                <c:pt idx="128">
                  <c:v>1916.2</c:v>
                </c:pt>
                <c:pt idx="129">
                  <c:v>1942.63</c:v>
                </c:pt>
                <c:pt idx="130">
                  <c:v>1905.31</c:v>
                </c:pt>
                <c:pt idx="131">
                  <c:v>1896.4</c:v>
                </c:pt>
                <c:pt idx="132">
                  <c:v>2312.6</c:v>
                </c:pt>
                <c:pt idx="133">
                  <c:v>1979.71</c:v>
                </c:pt>
                <c:pt idx="134">
                  <c:v>1592.65</c:v>
                </c:pt>
                <c:pt idx="135">
                  <c:v>1815.78</c:v>
                </c:pt>
                <c:pt idx="136">
                  <c:v>1791.35</c:v>
                </c:pt>
                <c:pt idx="137">
                  <c:v>1949.33</c:v>
                </c:pt>
                <c:pt idx="138">
                  <c:v>1908.83</c:v>
                </c:pt>
                <c:pt idx="139">
                  <c:v>1883.15</c:v>
                </c:pt>
                <c:pt idx="140">
                  <c:v>2085.08</c:v>
                </c:pt>
                <c:pt idx="141">
                  <c:v>1510.95</c:v>
                </c:pt>
                <c:pt idx="142">
                  <c:v>1835.93</c:v>
                </c:pt>
                <c:pt idx="143">
                  <c:v>1533.2</c:v>
                </c:pt>
                <c:pt idx="144">
                  <c:v>1597.4</c:v>
                </c:pt>
                <c:pt idx="145">
                  <c:v>1507.3</c:v>
                </c:pt>
                <c:pt idx="146">
                  <c:v>1655.25</c:v>
                </c:pt>
                <c:pt idx="147">
                  <c:v>1264.75</c:v>
                </c:pt>
                <c:pt idx="148">
                  <c:v>1125.1500000000001</c:v>
                </c:pt>
                <c:pt idx="149">
                  <c:v>1432.5</c:v>
                </c:pt>
                <c:pt idx="150">
                  <c:v>1363.75</c:v>
                </c:pt>
                <c:pt idx="151">
                  <c:v>1829.2</c:v>
                </c:pt>
                <c:pt idx="152">
                  <c:v>1701.6</c:v>
                </c:pt>
                <c:pt idx="153">
                  <c:v>1612.8</c:v>
                </c:pt>
                <c:pt idx="154">
                  <c:v>1628.9</c:v>
                </c:pt>
                <c:pt idx="155">
                  <c:v>1531.7</c:v>
                </c:pt>
                <c:pt idx="156">
                  <c:v>1611.4</c:v>
                </c:pt>
                <c:pt idx="157">
                  <c:v>2045.5</c:v>
                </c:pt>
                <c:pt idx="158">
                  <c:v>2028.11</c:v>
                </c:pt>
                <c:pt idx="159">
                  <c:v>2189.6</c:v>
                </c:pt>
                <c:pt idx="160">
                  <c:v>1990.7</c:v>
                </c:pt>
                <c:pt idx="161">
                  <c:v>2002.53</c:v>
                </c:pt>
                <c:pt idx="162">
                  <c:v>2106.6</c:v>
                </c:pt>
                <c:pt idx="163">
                  <c:v>2534.8000000000002</c:v>
                </c:pt>
                <c:pt idx="164">
                  <c:v>2496.61</c:v>
                </c:pt>
                <c:pt idx="165">
                  <c:v>1788.18</c:v>
                </c:pt>
                <c:pt idx="166">
                  <c:v>1975.95</c:v>
                </c:pt>
                <c:pt idx="167">
                  <c:v>2320.1</c:v>
                </c:pt>
                <c:pt idx="168">
                  <c:v>2175.9299999999998</c:v>
                </c:pt>
                <c:pt idx="169">
                  <c:v>2124.08</c:v>
                </c:pt>
                <c:pt idx="170">
                  <c:v>1885.65</c:v>
                </c:pt>
                <c:pt idx="171">
                  <c:v>2303.83</c:v>
                </c:pt>
                <c:pt idx="172">
                  <c:v>1557.1</c:v>
                </c:pt>
                <c:pt idx="173">
                  <c:v>1984.08</c:v>
                </c:pt>
                <c:pt idx="174">
                  <c:v>1690.8</c:v>
                </c:pt>
                <c:pt idx="175">
                  <c:v>1769.2</c:v>
                </c:pt>
                <c:pt idx="176">
                  <c:v>1746.1</c:v>
                </c:pt>
                <c:pt idx="177">
                  <c:v>1676.7</c:v>
                </c:pt>
                <c:pt idx="178">
                  <c:v>1445.85</c:v>
                </c:pt>
                <c:pt idx="179">
                  <c:v>1298.55</c:v>
                </c:pt>
                <c:pt idx="180">
                  <c:v>1904.93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3EC-4675-BD2F-3F080FD5C4F3}"/>
            </c:ext>
          </c:extLst>
        </c:ser>
        <c:ser>
          <c:idx val="2"/>
          <c:order val="2"/>
          <c:tx>
            <c:v>Lower Manhattan</c:v>
          </c:tx>
          <c:spPr>
            <a:ln w="47520">
              <a:noFill/>
            </a:ln>
          </c:spPr>
          <c:marker>
            <c:symbol val="circle"/>
            <c:size val="6"/>
            <c:spPr>
              <a:solidFill>
                <a:srgbClr val="4E8C7C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'Daily by Store'!$C$364:$C$544</c:f>
              <c:numCache>
                <c:formatCode>General</c:formatCode>
                <c:ptCount val="181"/>
                <c:pt idx="0">
                  <c:v>255</c:v>
                </c:pt>
                <c:pt idx="1">
                  <c:v>217</c:v>
                </c:pt>
                <c:pt idx="2">
                  <c:v>241</c:v>
                </c:pt>
                <c:pt idx="3">
                  <c:v>208</c:v>
                </c:pt>
                <c:pt idx="4">
                  <c:v>258</c:v>
                </c:pt>
                <c:pt idx="5">
                  <c:v>256</c:v>
                </c:pt>
                <c:pt idx="6">
                  <c:v>219</c:v>
                </c:pt>
                <c:pt idx="7">
                  <c:v>302</c:v>
                </c:pt>
                <c:pt idx="8">
                  <c:v>262</c:v>
                </c:pt>
                <c:pt idx="9">
                  <c:v>277</c:v>
                </c:pt>
                <c:pt idx="10">
                  <c:v>258</c:v>
                </c:pt>
                <c:pt idx="11">
                  <c:v>302</c:v>
                </c:pt>
                <c:pt idx="12">
                  <c:v>295</c:v>
                </c:pt>
                <c:pt idx="13">
                  <c:v>232</c:v>
                </c:pt>
                <c:pt idx="14">
                  <c:v>282</c:v>
                </c:pt>
                <c:pt idx="15">
                  <c:v>259</c:v>
                </c:pt>
                <c:pt idx="16">
                  <c:v>251</c:v>
                </c:pt>
                <c:pt idx="17">
                  <c:v>269</c:v>
                </c:pt>
                <c:pt idx="18">
                  <c:v>252</c:v>
                </c:pt>
                <c:pt idx="19">
                  <c:v>268</c:v>
                </c:pt>
                <c:pt idx="20">
                  <c:v>295</c:v>
                </c:pt>
                <c:pt idx="21">
                  <c:v>332</c:v>
                </c:pt>
                <c:pt idx="22">
                  <c:v>289</c:v>
                </c:pt>
                <c:pt idx="23">
                  <c:v>349</c:v>
                </c:pt>
                <c:pt idx="24">
                  <c:v>334</c:v>
                </c:pt>
                <c:pt idx="25">
                  <c:v>324</c:v>
                </c:pt>
                <c:pt idx="26">
                  <c:v>349</c:v>
                </c:pt>
                <c:pt idx="27">
                  <c:v>201</c:v>
                </c:pt>
                <c:pt idx="28">
                  <c:v>196</c:v>
                </c:pt>
                <c:pt idx="29">
                  <c:v>209</c:v>
                </c:pt>
                <c:pt idx="30">
                  <c:v>208</c:v>
                </c:pt>
                <c:pt idx="31">
                  <c:v>255</c:v>
                </c:pt>
                <c:pt idx="32">
                  <c:v>225</c:v>
                </c:pt>
                <c:pt idx="33">
                  <c:v>242</c:v>
                </c:pt>
                <c:pt idx="34">
                  <c:v>285</c:v>
                </c:pt>
                <c:pt idx="35">
                  <c:v>232</c:v>
                </c:pt>
                <c:pt idx="36">
                  <c:v>239</c:v>
                </c:pt>
                <c:pt idx="37">
                  <c:v>222</c:v>
                </c:pt>
                <c:pt idx="38">
                  <c:v>283</c:v>
                </c:pt>
                <c:pt idx="39">
                  <c:v>244</c:v>
                </c:pt>
                <c:pt idx="40">
                  <c:v>295</c:v>
                </c:pt>
                <c:pt idx="41">
                  <c:v>265</c:v>
                </c:pt>
                <c:pt idx="42">
                  <c:v>339</c:v>
                </c:pt>
                <c:pt idx="43">
                  <c:v>329</c:v>
                </c:pt>
                <c:pt idx="44">
                  <c:v>237</c:v>
                </c:pt>
                <c:pt idx="45">
                  <c:v>249</c:v>
                </c:pt>
                <c:pt idx="46">
                  <c:v>266</c:v>
                </c:pt>
                <c:pt idx="47">
                  <c:v>229</c:v>
                </c:pt>
                <c:pt idx="48">
                  <c:v>233</c:v>
                </c:pt>
                <c:pt idx="49">
                  <c:v>275</c:v>
                </c:pt>
                <c:pt idx="50">
                  <c:v>336</c:v>
                </c:pt>
                <c:pt idx="51">
                  <c:v>276</c:v>
                </c:pt>
                <c:pt idx="52">
                  <c:v>323</c:v>
                </c:pt>
                <c:pt idx="53">
                  <c:v>311</c:v>
                </c:pt>
                <c:pt idx="54">
                  <c:v>373</c:v>
                </c:pt>
                <c:pt idx="55">
                  <c:v>367</c:v>
                </c:pt>
                <c:pt idx="56">
                  <c:v>299</c:v>
                </c:pt>
                <c:pt idx="57">
                  <c:v>434</c:v>
                </c:pt>
                <c:pt idx="58">
                  <c:v>232</c:v>
                </c:pt>
                <c:pt idx="59">
                  <c:v>310</c:v>
                </c:pt>
                <c:pt idx="60">
                  <c:v>280</c:v>
                </c:pt>
                <c:pt idx="61">
                  <c:v>311</c:v>
                </c:pt>
                <c:pt idx="62">
                  <c:v>288</c:v>
                </c:pt>
                <c:pt idx="63">
                  <c:v>298</c:v>
                </c:pt>
                <c:pt idx="64">
                  <c:v>299</c:v>
                </c:pt>
                <c:pt idx="65">
                  <c:v>216</c:v>
                </c:pt>
                <c:pt idx="66">
                  <c:v>350</c:v>
                </c:pt>
                <c:pt idx="67">
                  <c:v>335</c:v>
                </c:pt>
                <c:pt idx="68">
                  <c:v>340</c:v>
                </c:pt>
                <c:pt idx="69">
                  <c:v>344</c:v>
                </c:pt>
                <c:pt idx="70">
                  <c:v>375</c:v>
                </c:pt>
                <c:pt idx="71">
                  <c:v>405</c:v>
                </c:pt>
                <c:pt idx="72">
                  <c:v>281</c:v>
                </c:pt>
                <c:pt idx="73">
                  <c:v>285</c:v>
                </c:pt>
                <c:pt idx="74">
                  <c:v>328</c:v>
                </c:pt>
                <c:pt idx="75">
                  <c:v>298</c:v>
                </c:pt>
                <c:pt idx="76">
                  <c:v>311</c:v>
                </c:pt>
                <c:pt idx="77">
                  <c:v>256</c:v>
                </c:pt>
                <c:pt idx="78">
                  <c:v>352</c:v>
                </c:pt>
                <c:pt idx="79">
                  <c:v>319</c:v>
                </c:pt>
                <c:pt idx="80">
                  <c:v>370</c:v>
                </c:pt>
                <c:pt idx="81">
                  <c:v>387</c:v>
                </c:pt>
                <c:pt idx="82">
                  <c:v>456</c:v>
                </c:pt>
                <c:pt idx="83">
                  <c:v>416</c:v>
                </c:pt>
                <c:pt idx="84">
                  <c:v>360</c:v>
                </c:pt>
                <c:pt idx="85">
                  <c:v>437</c:v>
                </c:pt>
                <c:pt idx="86">
                  <c:v>305</c:v>
                </c:pt>
                <c:pt idx="87">
                  <c:v>274</c:v>
                </c:pt>
                <c:pt idx="88">
                  <c:v>319</c:v>
                </c:pt>
                <c:pt idx="89">
                  <c:v>304</c:v>
                </c:pt>
                <c:pt idx="90">
                  <c:v>375</c:v>
                </c:pt>
                <c:pt idx="91">
                  <c:v>327</c:v>
                </c:pt>
                <c:pt idx="92">
                  <c:v>366</c:v>
                </c:pt>
                <c:pt idx="93">
                  <c:v>360</c:v>
                </c:pt>
                <c:pt idx="94">
                  <c:v>380</c:v>
                </c:pt>
                <c:pt idx="95">
                  <c:v>346</c:v>
                </c:pt>
                <c:pt idx="96">
                  <c:v>280</c:v>
                </c:pt>
                <c:pt idx="97">
                  <c:v>440</c:v>
                </c:pt>
                <c:pt idx="98">
                  <c:v>377</c:v>
                </c:pt>
                <c:pt idx="99">
                  <c:v>445</c:v>
                </c:pt>
                <c:pt idx="100">
                  <c:v>406</c:v>
                </c:pt>
                <c:pt idx="101">
                  <c:v>476</c:v>
                </c:pt>
                <c:pt idx="102">
                  <c:v>394</c:v>
                </c:pt>
                <c:pt idx="103">
                  <c:v>309</c:v>
                </c:pt>
                <c:pt idx="104">
                  <c:v>403</c:v>
                </c:pt>
                <c:pt idx="105">
                  <c:v>426</c:v>
                </c:pt>
                <c:pt idx="106">
                  <c:v>369</c:v>
                </c:pt>
                <c:pt idx="107">
                  <c:v>352</c:v>
                </c:pt>
                <c:pt idx="108">
                  <c:v>364</c:v>
                </c:pt>
                <c:pt idx="109">
                  <c:v>461</c:v>
                </c:pt>
                <c:pt idx="110">
                  <c:v>435</c:v>
                </c:pt>
                <c:pt idx="111">
                  <c:v>509</c:v>
                </c:pt>
                <c:pt idx="112">
                  <c:v>482</c:v>
                </c:pt>
                <c:pt idx="113">
                  <c:v>504</c:v>
                </c:pt>
                <c:pt idx="114">
                  <c:v>529</c:v>
                </c:pt>
                <c:pt idx="115">
                  <c:v>518</c:v>
                </c:pt>
                <c:pt idx="116">
                  <c:v>554</c:v>
                </c:pt>
                <c:pt idx="117">
                  <c:v>369</c:v>
                </c:pt>
                <c:pt idx="118">
                  <c:v>309</c:v>
                </c:pt>
                <c:pt idx="119">
                  <c:v>384</c:v>
                </c:pt>
                <c:pt idx="120">
                  <c:v>470</c:v>
                </c:pt>
                <c:pt idx="121">
                  <c:v>414</c:v>
                </c:pt>
                <c:pt idx="122">
                  <c:v>453</c:v>
                </c:pt>
                <c:pt idx="123">
                  <c:v>469</c:v>
                </c:pt>
                <c:pt idx="124">
                  <c:v>490</c:v>
                </c:pt>
                <c:pt idx="125">
                  <c:v>472</c:v>
                </c:pt>
                <c:pt idx="126">
                  <c:v>357</c:v>
                </c:pt>
                <c:pt idx="127">
                  <c:v>588</c:v>
                </c:pt>
                <c:pt idx="128">
                  <c:v>480</c:v>
                </c:pt>
                <c:pt idx="129">
                  <c:v>507</c:v>
                </c:pt>
                <c:pt idx="130">
                  <c:v>507</c:v>
                </c:pt>
                <c:pt idx="131">
                  <c:v>548</c:v>
                </c:pt>
                <c:pt idx="132">
                  <c:v>594</c:v>
                </c:pt>
                <c:pt idx="133">
                  <c:v>461</c:v>
                </c:pt>
                <c:pt idx="134">
                  <c:v>500</c:v>
                </c:pt>
                <c:pt idx="135">
                  <c:v>493</c:v>
                </c:pt>
                <c:pt idx="136">
                  <c:v>510</c:v>
                </c:pt>
                <c:pt idx="137">
                  <c:v>510</c:v>
                </c:pt>
                <c:pt idx="138">
                  <c:v>497</c:v>
                </c:pt>
                <c:pt idx="139">
                  <c:v>602</c:v>
                </c:pt>
                <c:pt idx="140">
                  <c:v>544</c:v>
                </c:pt>
                <c:pt idx="141">
                  <c:v>705</c:v>
                </c:pt>
                <c:pt idx="142">
                  <c:v>572</c:v>
                </c:pt>
                <c:pt idx="143">
                  <c:v>633</c:v>
                </c:pt>
                <c:pt idx="144">
                  <c:v>629</c:v>
                </c:pt>
                <c:pt idx="145">
                  <c:v>619</c:v>
                </c:pt>
                <c:pt idx="146">
                  <c:v>693</c:v>
                </c:pt>
                <c:pt idx="147">
                  <c:v>467</c:v>
                </c:pt>
                <c:pt idx="148">
                  <c:v>391</c:v>
                </c:pt>
                <c:pt idx="149">
                  <c:v>500</c:v>
                </c:pt>
                <c:pt idx="150">
                  <c:v>500</c:v>
                </c:pt>
                <c:pt idx="151">
                  <c:v>511</c:v>
                </c:pt>
                <c:pt idx="152">
                  <c:v>465</c:v>
                </c:pt>
                <c:pt idx="153">
                  <c:v>516</c:v>
                </c:pt>
                <c:pt idx="154">
                  <c:v>518</c:v>
                </c:pt>
                <c:pt idx="155">
                  <c:v>487</c:v>
                </c:pt>
                <c:pt idx="156">
                  <c:v>515</c:v>
                </c:pt>
                <c:pt idx="157">
                  <c:v>390</c:v>
                </c:pt>
                <c:pt idx="158">
                  <c:v>591</c:v>
                </c:pt>
                <c:pt idx="159">
                  <c:v>556</c:v>
                </c:pt>
                <c:pt idx="160">
                  <c:v>558</c:v>
                </c:pt>
                <c:pt idx="161">
                  <c:v>543</c:v>
                </c:pt>
                <c:pt idx="162">
                  <c:v>636</c:v>
                </c:pt>
                <c:pt idx="163">
                  <c:v>689</c:v>
                </c:pt>
                <c:pt idx="164">
                  <c:v>511</c:v>
                </c:pt>
                <c:pt idx="165">
                  <c:v>518</c:v>
                </c:pt>
                <c:pt idx="166">
                  <c:v>548</c:v>
                </c:pt>
                <c:pt idx="167">
                  <c:v>537</c:v>
                </c:pt>
                <c:pt idx="168">
                  <c:v>537</c:v>
                </c:pt>
                <c:pt idx="169">
                  <c:v>546</c:v>
                </c:pt>
                <c:pt idx="170">
                  <c:v>629</c:v>
                </c:pt>
                <c:pt idx="171">
                  <c:v>586</c:v>
                </c:pt>
                <c:pt idx="172">
                  <c:v>688</c:v>
                </c:pt>
                <c:pt idx="173">
                  <c:v>631</c:v>
                </c:pt>
                <c:pt idx="174">
                  <c:v>657</c:v>
                </c:pt>
                <c:pt idx="175">
                  <c:v>707</c:v>
                </c:pt>
                <c:pt idx="176">
                  <c:v>674</c:v>
                </c:pt>
                <c:pt idx="177">
                  <c:v>770</c:v>
                </c:pt>
                <c:pt idx="178">
                  <c:v>492</c:v>
                </c:pt>
                <c:pt idx="179">
                  <c:v>424</c:v>
                </c:pt>
                <c:pt idx="180">
                  <c:v>535</c:v>
                </c:pt>
              </c:numCache>
            </c:numRef>
          </c:xVal>
          <c:yVal>
            <c:numRef>
              <c:f>'Daily by Store'!$D$364:$D$544</c:f>
              <c:numCache>
                <c:formatCode>\$#,##0.00</c:formatCode>
                <c:ptCount val="181"/>
                <c:pt idx="0">
                  <c:v>788.35</c:v>
                </c:pt>
                <c:pt idx="1">
                  <c:v>649.04999999999995</c:v>
                </c:pt>
                <c:pt idx="2">
                  <c:v>756</c:v>
                </c:pt>
                <c:pt idx="3">
                  <c:v>630.20000000000005</c:v>
                </c:pt>
                <c:pt idx="4">
                  <c:v>800.9</c:v>
                </c:pt>
                <c:pt idx="5">
                  <c:v>790.6</c:v>
                </c:pt>
                <c:pt idx="6">
                  <c:v>788.25</c:v>
                </c:pt>
                <c:pt idx="7">
                  <c:v>972.55</c:v>
                </c:pt>
                <c:pt idx="8">
                  <c:v>1008.2</c:v>
                </c:pt>
                <c:pt idx="9">
                  <c:v>930.55</c:v>
                </c:pt>
                <c:pt idx="10">
                  <c:v>841.05</c:v>
                </c:pt>
                <c:pt idx="11">
                  <c:v>915.1</c:v>
                </c:pt>
                <c:pt idx="12">
                  <c:v>965.2</c:v>
                </c:pt>
                <c:pt idx="13">
                  <c:v>775</c:v>
                </c:pt>
                <c:pt idx="14">
                  <c:v>856.35</c:v>
                </c:pt>
                <c:pt idx="15">
                  <c:v>850.68</c:v>
                </c:pt>
                <c:pt idx="16">
                  <c:v>788.9</c:v>
                </c:pt>
                <c:pt idx="17">
                  <c:v>825.83</c:v>
                </c:pt>
                <c:pt idx="18">
                  <c:v>788.05</c:v>
                </c:pt>
                <c:pt idx="19">
                  <c:v>791.55</c:v>
                </c:pt>
                <c:pt idx="20">
                  <c:v>1015</c:v>
                </c:pt>
                <c:pt idx="21">
                  <c:v>1003.08</c:v>
                </c:pt>
                <c:pt idx="22">
                  <c:v>898.75</c:v>
                </c:pt>
                <c:pt idx="23">
                  <c:v>1105.8</c:v>
                </c:pt>
                <c:pt idx="24">
                  <c:v>1063.8499999999999</c:v>
                </c:pt>
                <c:pt idx="25">
                  <c:v>1067.3499999999999</c:v>
                </c:pt>
                <c:pt idx="26">
                  <c:v>1143.5</c:v>
                </c:pt>
                <c:pt idx="27">
                  <c:v>604.20000000000005</c:v>
                </c:pt>
                <c:pt idx="28">
                  <c:v>627.9</c:v>
                </c:pt>
                <c:pt idx="29">
                  <c:v>737.41</c:v>
                </c:pt>
                <c:pt idx="30">
                  <c:v>764.23</c:v>
                </c:pt>
                <c:pt idx="31">
                  <c:v>783.2</c:v>
                </c:pt>
                <c:pt idx="32">
                  <c:v>678.15</c:v>
                </c:pt>
                <c:pt idx="33">
                  <c:v>755.25</c:v>
                </c:pt>
                <c:pt idx="34">
                  <c:v>881.1</c:v>
                </c:pt>
                <c:pt idx="35">
                  <c:v>724.1</c:v>
                </c:pt>
                <c:pt idx="36">
                  <c:v>751.9</c:v>
                </c:pt>
                <c:pt idx="37">
                  <c:v>737</c:v>
                </c:pt>
                <c:pt idx="38">
                  <c:v>883.7</c:v>
                </c:pt>
                <c:pt idx="39">
                  <c:v>884.58</c:v>
                </c:pt>
                <c:pt idx="40">
                  <c:v>961.3</c:v>
                </c:pt>
                <c:pt idx="41">
                  <c:v>825.48</c:v>
                </c:pt>
                <c:pt idx="42">
                  <c:v>1087.5999999999999</c:v>
                </c:pt>
                <c:pt idx="43">
                  <c:v>1018.43</c:v>
                </c:pt>
                <c:pt idx="44">
                  <c:v>763.23</c:v>
                </c:pt>
                <c:pt idx="45">
                  <c:v>822.85</c:v>
                </c:pt>
                <c:pt idx="46">
                  <c:v>923.8</c:v>
                </c:pt>
                <c:pt idx="47">
                  <c:v>695.55</c:v>
                </c:pt>
                <c:pt idx="48">
                  <c:v>746.45</c:v>
                </c:pt>
                <c:pt idx="49">
                  <c:v>891</c:v>
                </c:pt>
                <c:pt idx="50">
                  <c:v>1056.75</c:v>
                </c:pt>
                <c:pt idx="51">
                  <c:v>954.4</c:v>
                </c:pt>
                <c:pt idx="52">
                  <c:v>1060.5</c:v>
                </c:pt>
                <c:pt idx="53">
                  <c:v>952.73</c:v>
                </c:pt>
                <c:pt idx="54">
                  <c:v>1138.7</c:v>
                </c:pt>
                <c:pt idx="55">
                  <c:v>1156.6500000000001</c:v>
                </c:pt>
                <c:pt idx="56">
                  <c:v>997.4</c:v>
                </c:pt>
                <c:pt idx="57">
                  <c:v>1469.25</c:v>
                </c:pt>
                <c:pt idx="58">
                  <c:v>719</c:v>
                </c:pt>
                <c:pt idx="59">
                  <c:v>978.7</c:v>
                </c:pt>
                <c:pt idx="60">
                  <c:v>886.9</c:v>
                </c:pt>
                <c:pt idx="61">
                  <c:v>957.25</c:v>
                </c:pt>
                <c:pt idx="62">
                  <c:v>904.75</c:v>
                </c:pt>
                <c:pt idx="63">
                  <c:v>944.15</c:v>
                </c:pt>
                <c:pt idx="64">
                  <c:v>950.35</c:v>
                </c:pt>
                <c:pt idx="65">
                  <c:v>746.15</c:v>
                </c:pt>
                <c:pt idx="66">
                  <c:v>1130.0999999999999</c:v>
                </c:pt>
                <c:pt idx="67">
                  <c:v>1282.44</c:v>
                </c:pt>
                <c:pt idx="68">
                  <c:v>1108.2</c:v>
                </c:pt>
                <c:pt idx="69">
                  <c:v>1075.5999999999999</c:v>
                </c:pt>
                <c:pt idx="70">
                  <c:v>1146.1500000000001</c:v>
                </c:pt>
                <c:pt idx="71">
                  <c:v>1340.65</c:v>
                </c:pt>
                <c:pt idx="72">
                  <c:v>966.28</c:v>
                </c:pt>
                <c:pt idx="73">
                  <c:v>915.3</c:v>
                </c:pt>
                <c:pt idx="74">
                  <c:v>1094.55</c:v>
                </c:pt>
                <c:pt idx="75">
                  <c:v>952.85</c:v>
                </c:pt>
                <c:pt idx="76">
                  <c:v>1037.53</c:v>
                </c:pt>
                <c:pt idx="77">
                  <c:v>766.35</c:v>
                </c:pt>
                <c:pt idx="78">
                  <c:v>1035.0999999999999</c:v>
                </c:pt>
                <c:pt idx="79">
                  <c:v>1057.25</c:v>
                </c:pt>
                <c:pt idx="80">
                  <c:v>1235.6600000000001</c:v>
                </c:pt>
                <c:pt idx="81">
                  <c:v>1158.25</c:v>
                </c:pt>
                <c:pt idx="82">
                  <c:v>1447.1</c:v>
                </c:pt>
                <c:pt idx="83">
                  <c:v>1348.9</c:v>
                </c:pt>
                <c:pt idx="84">
                  <c:v>1130.55</c:v>
                </c:pt>
                <c:pt idx="85">
                  <c:v>1489.75</c:v>
                </c:pt>
                <c:pt idx="86">
                  <c:v>945.25</c:v>
                </c:pt>
                <c:pt idx="87">
                  <c:v>840.3</c:v>
                </c:pt>
                <c:pt idx="88">
                  <c:v>966.79</c:v>
                </c:pt>
                <c:pt idx="89">
                  <c:v>1049.53</c:v>
                </c:pt>
                <c:pt idx="90">
                  <c:v>1168.05</c:v>
                </c:pt>
                <c:pt idx="91">
                  <c:v>1002.2</c:v>
                </c:pt>
                <c:pt idx="92">
                  <c:v>1127.55</c:v>
                </c:pt>
                <c:pt idx="93">
                  <c:v>1092</c:v>
                </c:pt>
                <c:pt idx="94">
                  <c:v>1202.25</c:v>
                </c:pt>
                <c:pt idx="95">
                  <c:v>1080.25</c:v>
                </c:pt>
                <c:pt idx="96">
                  <c:v>1014.75</c:v>
                </c:pt>
                <c:pt idx="97">
                  <c:v>1513.35</c:v>
                </c:pt>
                <c:pt idx="98">
                  <c:v>1465.3</c:v>
                </c:pt>
                <c:pt idx="99">
                  <c:v>1453.8</c:v>
                </c:pt>
                <c:pt idx="100">
                  <c:v>1195.83</c:v>
                </c:pt>
                <c:pt idx="101">
                  <c:v>1512.55</c:v>
                </c:pt>
                <c:pt idx="102">
                  <c:v>1247.43</c:v>
                </c:pt>
                <c:pt idx="103">
                  <c:v>1116.96</c:v>
                </c:pt>
                <c:pt idx="104">
                  <c:v>1270.05</c:v>
                </c:pt>
                <c:pt idx="105">
                  <c:v>1462.88</c:v>
                </c:pt>
                <c:pt idx="106">
                  <c:v>1150.05</c:v>
                </c:pt>
                <c:pt idx="107">
                  <c:v>1164.68</c:v>
                </c:pt>
                <c:pt idx="108">
                  <c:v>1130.2</c:v>
                </c:pt>
                <c:pt idx="109">
                  <c:v>1443.43</c:v>
                </c:pt>
                <c:pt idx="110">
                  <c:v>1381.65</c:v>
                </c:pt>
                <c:pt idx="111">
                  <c:v>1634.18</c:v>
                </c:pt>
                <c:pt idx="112">
                  <c:v>1522.76</c:v>
                </c:pt>
                <c:pt idx="113">
                  <c:v>1558.9</c:v>
                </c:pt>
                <c:pt idx="114">
                  <c:v>1664.35</c:v>
                </c:pt>
                <c:pt idx="115">
                  <c:v>1684.45</c:v>
                </c:pt>
                <c:pt idx="116">
                  <c:v>1686.1</c:v>
                </c:pt>
                <c:pt idx="117">
                  <c:v>1111.1500000000001</c:v>
                </c:pt>
                <c:pt idx="118">
                  <c:v>936.9</c:v>
                </c:pt>
                <c:pt idx="119">
                  <c:v>1165.33</c:v>
                </c:pt>
                <c:pt idx="120">
                  <c:v>1475.4</c:v>
                </c:pt>
                <c:pt idx="121">
                  <c:v>1276.5</c:v>
                </c:pt>
                <c:pt idx="122">
                  <c:v>1401.65</c:v>
                </c:pt>
                <c:pt idx="123">
                  <c:v>1431.3</c:v>
                </c:pt>
                <c:pt idx="124">
                  <c:v>1528.65</c:v>
                </c:pt>
                <c:pt idx="125">
                  <c:v>1479</c:v>
                </c:pt>
                <c:pt idx="126">
                  <c:v>1168.55</c:v>
                </c:pt>
                <c:pt idx="127">
                  <c:v>1869.15</c:v>
                </c:pt>
                <c:pt idx="128">
                  <c:v>1822.66</c:v>
                </c:pt>
                <c:pt idx="129">
                  <c:v>1596.8</c:v>
                </c:pt>
                <c:pt idx="130">
                  <c:v>1549.75</c:v>
                </c:pt>
                <c:pt idx="131">
                  <c:v>1609.65</c:v>
                </c:pt>
                <c:pt idx="132">
                  <c:v>1899.08</c:v>
                </c:pt>
                <c:pt idx="133">
                  <c:v>1590.94</c:v>
                </c:pt>
                <c:pt idx="134">
                  <c:v>1611.45</c:v>
                </c:pt>
                <c:pt idx="135">
                  <c:v>1684.2</c:v>
                </c:pt>
                <c:pt idx="136">
                  <c:v>1684.15</c:v>
                </c:pt>
                <c:pt idx="137">
                  <c:v>1668.2</c:v>
                </c:pt>
                <c:pt idx="138">
                  <c:v>1564.35</c:v>
                </c:pt>
                <c:pt idx="139">
                  <c:v>1837.4</c:v>
                </c:pt>
                <c:pt idx="140">
                  <c:v>1716.95</c:v>
                </c:pt>
                <c:pt idx="141">
                  <c:v>2257.06</c:v>
                </c:pt>
                <c:pt idx="142">
                  <c:v>1753.88</c:v>
                </c:pt>
                <c:pt idx="143">
                  <c:v>1968.6</c:v>
                </c:pt>
                <c:pt idx="144">
                  <c:v>2005.3</c:v>
                </c:pt>
                <c:pt idx="145">
                  <c:v>1967</c:v>
                </c:pt>
                <c:pt idx="146">
                  <c:v>2242.85</c:v>
                </c:pt>
                <c:pt idx="147">
                  <c:v>1461.05</c:v>
                </c:pt>
                <c:pt idx="148">
                  <c:v>1197.25</c:v>
                </c:pt>
                <c:pt idx="149">
                  <c:v>1732.03</c:v>
                </c:pt>
                <c:pt idx="150">
                  <c:v>1649.27</c:v>
                </c:pt>
                <c:pt idx="151">
                  <c:v>1602.95</c:v>
                </c:pt>
                <c:pt idx="152">
                  <c:v>1439.45</c:v>
                </c:pt>
                <c:pt idx="153">
                  <c:v>1600.35</c:v>
                </c:pt>
                <c:pt idx="154">
                  <c:v>1595.35</c:v>
                </c:pt>
                <c:pt idx="155">
                  <c:v>1537</c:v>
                </c:pt>
                <c:pt idx="156">
                  <c:v>1590.4</c:v>
                </c:pt>
                <c:pt idx="157">
                  <c:v>1282.05</c:v>
                </c:pt>
                <c:pt idx="158">
                  <c:v>1954.8</c:v>
                </c:pt>
                <c:pt idx="159">
                  <c:v>2159.08</c:v>
                </c:pt>
                <c:pt idx="160">
                  <c:v>1886.6</c:v>
                </c:pt>
                <c:pt idx="161">
                  <c:v>1712.43</c:v>
                </c:pt>
                <c:pt idx="162">
                  <c:v>1977.5</c:v>
                </c:pt>
                <c:pt idx="163">
                  <c:v>2215.11</c:v>
                </c:pt>
                <c:pt idx="164">
                  <c:v>1751.36</c:v>
                </c:pt>
                <c:pt idx="165">
                  <c:v>1644.85</c:v>
                </c:pt>
                <c:pt idx="166">
                  <c:v>1805.68</c:v>
                </c:pt>
                <c:pt idx="167">
                  <c:v>1724.85</c:v>
                </c:pt>
                <c:pt idx="168">
                  <c:v>1805.28</c:v>
                </c:pt>
                <c:pt idx="169">
                  <c:v>1733.4</c:v>
                </c:pt>
                <c:pt idx="170">
                  <c:v>1929.63</c:v>
                </c:pt>
                <c:pt idx="171">
                  <c:v>1890.3</c:v>
                </c:pt>
                <c:pt idx="172">
                  <c:v>2145.9499999999998</c:v>
                </c:pt>
                <c:pt idx="173">
                  <c:v>1933.38</c:v>
                </c:pt>
                <c:pt idx="174">
                  <c:v>2097.75</c:v>
                </c:pt>
                <c:pt idx="175">
                  <c:v>2244.9499999999998</c:v>
                </c:pt>
                <c:pt idx="176">
                  <c:v>2154.6999999999998</c:v>
                </c:pt>
                <c:pt idx="177">
                  <c:v>2437.4</c:v>
                </c:pt>
                <c:pt idx="178">
                  <c:v>1524.95</c:v>
                </c:pt>
                <c:pt idx="179">
                  <c:v>1299.45</c:v>
                </c:pt>
                <c:pt idx="180">
                  <c:v>1768.74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3EC-4675-BD2F-3F080FD5C4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067634"/>
        <c:axId val="76379967"/>
      </c:scatterChart>
      <c:valAx>
        <c:axId val="4006763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Units sold per 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6379967"/>
        <c:crosses val="autoZero"/>
        <c:crossBetween val="midCat"/>
      </c:valAx>
      <c:valAx>
        <c:axId val="763799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Revenue per day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0067634"/>
        <c:crosses val="autoZero"/>
        <c:crossBetween val="midCat"/>
      </c:valAx>
      <c:spPr>
        <a:noFill/>
        <a:ln w="0">
          <a:noFill/>
        </a:ln>
      </c:spPr>
    </c:plotArea>
    <c:legend>
      <c:legendPos val="r"/>
      <c:legendEntry>
        <c:idx val="3"/>
        <c:delete val="1"/>
      </c:legendEntry>
      <c:overlay val="0"/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</xdr:colOff>
      <xdr:row>6</xdr:row>
      <xdr:rowOff>36340</xdr:rowOff>
    </xdr:from>
    <xdr:to>
      <xdr:col>9</xdr:col>
      <xdr:colOff>248990</xdr:colOff>
      <xdr:row>26</xdr:row>
      <xdr:rowOff>179450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11"/>
  <sheetViews>
    <sheetView showGridLines="0" tabSelected="1" topLeftCell="A3" zoomScaleNormal="100" workbookViewId="0">
      <selection activeCell="L16" sqref="L16"/>
    </sheetView>
  </sheetViews>
  <sheetFormatPr defaultColWidth="8.6328125" defaultRowHeight="14.5" x14ac:dyDescent="0.35"/>
  <cols>
    <col min="2" max="2" width="16" customWidth="1"/>
    <col min="4" max="4" width="16" customWidth="1"/>
    <col min="6" max="6" width="16" customWidth="1"/>
    <col min="8" max="8" width="16" customWidth="1"/>
    <col min="12" max="12" width="22" customWidth="1"/>
    <col min="13" max="13" width="14" customWidth="1"/>
  </cols>
  <sheetData>
    <row r="2" spans="2:13" ht="15.75" customHeight="1" x14ac:dyDescent="0.35">
      <c r="B2" s="9" t="s">
        <v>0</v>
      </c>
      <c r="C2" s="9"/>
      <c r="D2" s="9" t="s">
        <v>1</v>
      </c>
      <c r="E2" s="9"/>
      <c r="F2" s="9" t="s">
        <v>2</v>
      </c>
      <c r="G2" s="9"/>
      <c r="H2" s="9" t="s">
        <v>3</v>
      </c>
      <c r="I2" s="9"/>
    </row>
    <row r="3" spans="2:13" ht="25.5" customHeight="1" x14ac:dyDescent="0.4">
      <c r="B3" s="10">
        <f>SUM('Store Map Data'!G2:G4)</f>
        <v>698812.33000000007</v>
      </c>
      <c r="C3" s="10"/>
      <c r="D3" s="11">
        <f>SUM('Store Map Data'!E2:E4)</f>
        <v>149116</v>
      </c>
      <c r="E3" s="11"/>
      <c r="F3" s="11">
        <f>SUM('Store Map Data'!F2:F4)</f>
        <v>214470</v>
      </c>
      <c r="G3" s="11"/>
      <c r="H3" s="12">
        <f>SUM('Store Map Data'!G2:G4)/SUM('Store Map Data'!E2:E4)</f>
        <v>4.6863671906435265</v>
      </c>
      <c r="I3" s="12"/>
    </row>
    <row r="5" spans="2:13" ht="16.5" x14ac:dyDescent="0.35">
      <c r="B5" s="1" t="s">
        <v>4</v>
      </c>
    </row>
    <row r="7" spans="2:13" x14ac:dyDescent="0.35">
      <c r="L7" s="2" t="s">
        <v>5</v>
      </c>
      <c r="M7" s="3">
        <f>SLOPE('Daily by Store'!D2:D544,'Daily by Store'!C2:C544)</f>
        <v>3.1985841410606306</v>
      </c>
    </row>
    <row r="8" spans="2:13" x14ac:dyDescent="0.35">
      <c r="L8" s="2" t="s">
        <v>6</v>
      </c>
      <c r="M8" s="3">
        <f>INTERCEPT('Daily by Store'!D2:D544,'Daily by Store'!C2:C544)</f>
        <v>23.594823695630112</v>
      </c>
    </row>
    <row r="9" spans="2:13" x14ac:dyDescent="0.35">
      <c r="L9" s="2" t="s">
        <v>7</v>
      </c>
      <c r="M9" s="4">
        <f>RSQ('Daily by Store'!D2:D544,'Daily by Store'!C2:C544)</f>
        <v>0.93865713316167199</v>
      </c>
    </row>
    <row r="10" spans="2:13" x14ac:dyDescent="0.35">
      <c r="L10" s="2" t="s">
        <v>8</v>
      </c>
      <c r="M10" s="4">
        <f>CORREL('Daily by Store'!C2:C544,'Daily by Store'!D2:D544)</f>
        <v>0.96884319327828894</v>
      </c>
    </row>
    <row r="11" spans="2:13" x14ac:dyDescent="0.35">
      <c r="L11" s="2" t="s">
        <v>9</v>
      </c>
      <c r="M11" s="5">
        <f>COUNT('Daily by Store'!C2:C544)</f>
        <v>543</v>
      </c>
    </row>
  </sheetData>
  <mergeCells count="8">
    <mergeCell ref="B2:C2"/>
    <mergeCell ref="D2:E2"/>
    <mergeCell ref="F2:G2"/>
    <mergeCell ref="H2:I2"/>
    <mergeCell ref="B3:C3"/>
    <mergeCell ref="D3:E3"/>
    <mergeCell ref="F3:G3"/>
    <mergeCell ref="H3:I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"/>
  <sheetViews>
    <sheetView zoomScaleNormal="100" workbookViewId="0"/>
  </sheetViews>
  <sheetFormatPr defaultColWidth="8.6328125" defaultRowHeight="14.5" x14ac:dyDescent="0.35"/>
  <sheetData>
    <row r="1" spans="1:7" x14ac:dyDescent="0.35">
      <c r="A1" s="6" t="s">
        <v>10</v>
      </c>
      <c r="B1" s="6" t="s">
        <v>11</v>
      </c>
      <c r="C1" s="6" t="s">
        <v>12</v>
      </c>
      <c r="D1" s="6" t="s">
        <v>13</v>
      </c>
      <c r="E1" s="6" t="s">
        <v>14</v>
      </c>
      <c r="F1" s="6" t="s">
        <v>15</v>
      </c>
      <c r="G1" s="6" t="s">
        <v>16</v>
      </c>
    </row>
    <row r="2" spans="1:7" x14ac:dyDescent="0.35">
      <c r="A2">
        <v>3</v>
      </c>
      <c r="B2" t="s">
        <v>17</v>
      </c>
      <c r="C2">
        <v>40.764400000000002</v>
      </c>
      <c r="D2">
        <v>-73.923500000000004</v>
      </c>
      <c r="E2">
        <v>50599</v>
      </c>
      <c r="F2">
        <v>70991</v>
      </c>
      <c r="G2">
        <v>232243.91</v>
      </c>
    </row>
    <row r="3" spans="1:7" x14ac:dyDescent="0.35">
      <c r="A3">
        <v>5</v>
      </c>
      <c r="B3" t="s">
        <v>18</v>
      </c>
      <c r="C3">
        <v>40.712800000000001</v>
      </c>
      <c r="D3">
        <v>-74.006</v>
      </c>
      <c r="E3">
        <v>47782</v>
      </c>
      <c r="F3">
        <v>71742</v>
      </c>
      <c r="G3">
        <v>230057.25</v>
      </c>
    </row>
    <row r="4" spans="1:7" x14ac:dyDescent="0.35">
      <c r="A4">
        <v>8</v>
      </c>
      <c r="B4" t="s">
        <v>19</v>
      </c>
      <c r="C4">
        <v>40.767600000000002</v>
      </c>
      <c r="D4">
        <v>-73.991799999999998</v>
      </c>
      <c r="E4">
        <v>50735</v>
      </c>
      <c r="F4">
        <v>71737</v>
      </c>
      <c r="G4">
        <v>236511.17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44"/>
  <sheetViews>
    <sheetView topLeftCell="A200" zoomScaleNormal="100" workbookViewId="0"/>
  </sheetViews>
  <sheetFormatPr defaultColWidth="8.6328125" defaultRowHeight="14.5" x14ac:dyDescent="0.35"/>
  <cols>
    <col min="1" max="2" width="16" customWidth="1"/>
    <col min="3" max="3" width="14" customWidth="1"/>
    <col min="4" max="5" width="12" customWidth="1"/>
  </cols>
  <sheetData>
    <row r="1" spans="1:5" x14ac:dyDescent="0.35">
      <c r="A1" s="6" t="s">
        <v>11</v>
      </c>
      <c r="B1" s="6" t="s">
        <v>20</v>
      </c>
      <c r="C1" s="6" t="s">
        <v>15</v>
      </c>
      <c r="D1" s="6" t="s">
        <v>16</v>
      </c>
      <c r="E1" s="6" t="s">
        <v>14</v>
      </c>
    </row>
    <row r="2" spans="1:5" x14ac:dyDescent="0.35">
      <c r="A2" t="s">
        <v>17</v>
      </c>
      <c r="B2" s="7" t="s">
        <v>21</v>
      </c>
      <c r="C2">
        <v>277</v>
      </c>
      <c r="D2" s="8">
        <v>868.4</v>
      </c>
      <c r="E2">
        <v>190</v>
      </c>
    </row>
    <row r="3" spans="1:5" x14ac:dyDescent="0.35">
      <c r="A3" t="s">
        <v>17</v>
      </c>
      <c r="B3" s="7" t="s">
        <v>22</v>
      </c>
      <c r="C3">
        <v>301</v>
      </c>
      <c r="D3" s="8">
        <v>925.5</v>
      </c>
      <c r="E3">
        <v>212</v>
      </c>
    </row>
    <row r="4" spans="1:5" x14ac:dyDescent="0.35">
      <c r="A4" t="s">
        <v>17</v>
      </c>
      <c r="B4" s="7" t="s">
        <v>23</v>
      </c>
      <c r="C4">
        <v>287</v>
      </c>
      <c r="D4" s="8">
        <v>902.75</v>
      </c>
      <c r="E4">
        <v>205</v>
      </c>
    </row>
    <row r="5" spans="1:5" x14ac:dyDescent="0.35">
      <c r="A5" t="s">
        <v>17</v>
      </c>
      <c r="B5" s="7" t="s">
        <v>24</v>
      </c>
      <c r="C5">
        <v>262</v>
      </c>
      <c r="D5" s="8">
        <v>808.25</v>
      </c>
      <c r="E5">
        <v>187</v>
      </c>
    </row>
    <row r="6" spans="1:5" x14ac:dyDescent="0.35">
      <c r="A6" t="s">
        <v>17</v>
      </c>
      <c r="B6" s="7" t="s">
        <v>25</v>
      </c>
      <c r="C6">
        <v>285</v>
      </c>
      <c r="D6" s="8">
        <v>903.05</v>
      </c>
      <c r="E6">
        <v>198</v>
      </c>
    </row>
    <row r="7" spans="1:5" x14ac:dyDescent="0.35">
      <c r="A7" t="s">
        <v>17</v>
      </c>
      <c r="B7" s="7" t="s">
        <v>26</v>
      </c>
      <c r="C7">
        <v>224</v>
      </c>
      <c r="D7" s="8">
        <v>716.05</v>
      </c>
      <c r="E7">
        <v>152</v>
      </c>
    </row>
    <row r="8" spans="1:5" x14ac:dyDescent="0.35">
      <c r="A8" t="s">
        <v>17</v>
      </c>
      <c r="B8" s="7" t="s">
        <v>27</v>
      </c>
      <c r="C8">
        <v>257</v>
      </c>
      <c r="D8" s="8">
        <v>807.3</v>
      </c>
      <c r="E8">
        <v>184</v>
      </c>
    </row>
    <row r="9" spans="1:5" x14ac:dyDescent="0.35">
      <c r="A9" t="s">
        <v>17</v>
      </c>
      <c r="B9" s="7" t="s">
        <v>28</v>
      </c>
      <c r="C9">
        <v>227</v>
      </c>
      <c r="D9" s="8">
        <v>793.15</v>
      </c>
      <c r="E9">
        <v>161</v>
      </c>
    </row>
    <row r="10" spans="1:5" x14ac:dyDescent="0.35">
      <c r="A10" t="s">
        <v>17</v>
      </c>
      <c r="B10" s="7" t="s">
        <v>29</v>
      </c>
      <c r="C10">
        <v>208</v>
      </c>
      <c r="D10" s="8">
        <v>774.01</v>
      </c>
      <c r="E10">
        <v>165</v>
      </c>
    </row>
    <row r="11" spans="1:5" x14ac:dyDescent="0.35">
      <c r="A11" t="s">
        <v>17</v>
      </c>
      <c r="B11" s="7" t="s">
        <v>30</v>
      </c>
      <c r="C11">
        <v>305</v>
      </c>
      <c r="D11" s="8">
        <v>947</v>
      </c>
      <c r="E11">
        <v>210</v>
      </c>
    </row>
    <row r="12" spans="1:5" x14ac:dyDescent="0.35">
      <c r="A12" t="s">
        <v>17</v>
      </c>
      <c r="B12" s="7" t="s">
        <v>31</v>
      </c>
      <c r="C12">
        <v>229</v>
      </c>
      <c r="D12" s="8">
        <v>740.15</v>
      </c>
      <c r="E12">
        <v>162</v>
      </c>
    </row>
    <row r="13" spans="1:5" x14ac:dyDescent="0.35">
      <c r="A13" t="s">
        <v>17</v>
      </c>
      <c r="B13" s="7" t="s">
        <v>32</v>
      </c>
      <c r="C13">
        <v>206</v>
      </c>
      <c r="D13" s="8">
        <v>660.7</v>
      </c>
      <c r="E13">
        <v>144</v>
      </c>
    </row>
    <row r="14" spans="1:5" x14ac:dyDescent="0.35">
      <c r="A14" t="s">
        <v>17</v>
      </c>
      <c r="B14" s="7" t="s">
        <v>33</v>
      </c>
      <c r="C14">
        <v>246</v>
      </c>
      <c r="D14" s="8">
        <v>705.8</v>
      </c>
      <c r="E14">
        <v>175</v>
      </c>
    </row>
    <row r="15" spans="1:5" x14ac:dyDescent="0.35">
      <c r="A15" t="s">
        <v>17</v>
      </c>
      <c r="B15" s="7" t="s">
        <v>34</v>
      </c>
      <c r="C15">
        <v>213</v>
      </c>
      <c r="D15" s="8">
        <v>763.7</v>
      </c>
      <c r="E15">
        <v>157</v>
      </c>
    </row>
    <row r="16" spans="1:5" x14ac:dyDescent="0.35">
      <c r="A16" t="s">
        <v>17</v>
      </c>
      <c r="B16" s="7" t="s">
        <v>35</v>
      </c>
      <c r="C16">
        <v>365</v>
      </c>
      <c r="D16" s="8">
        <v>1348.93</v>
      </c>
      <c r="E16">
        <v>262</v>
      </c>
    </row>
    <row r="17" spans="1:5" x14ac:dyDescent="0.35">
      <c r="A17" t="s">
        <v>17</v>
      </c>
      <c r="B17" s="7" t="s">
        <v>36</v>
      </c>
      <c r="C17">
        <v>319</v>
      </c>
      <c r="D17" s="8">
        <v>1027.33</v>
      </c>
      <c r="E17">
        <v>229</v>
      </c>
    </row>
    <row r="18" spans="1:5" x14ac:dyDescent="0.35">
      <c r="A18" t="s">
        <v>17</v>
      </c>
      <c r="B18" s="7" t="s">
        <v>37</v>
      </c>
      <c r="C18">
        <v>297</v>
      </c>
      <c r="D18" s="8">
        <v>1075.4000000000001</v>
      </c>
      <c r="E18">
        <v>209</v>
      </c>
    </row>
    <row r="19" spans="1:5" x14ac:dyDescent="0.35">
      <c r="A19" t="s">
        <v>17</v>
      </c>
      <c r="B19" s="7" t="s">
        <v>38</v>
      </c>
      <c r="C19">
        <v>295</v>
      </c>
      <c r="D19" s="8">
        <v>1064.03</v>
      </c>
      <c r="E19">
        <v>214</v>
      </c>
    </row>
    <row r="20" spans="1:5" x14ac:dyDescent="0.35">
      <c r="A20" t="s">
        <v>17</v>
      </c>
      <c r="B20" s="7" t="s">
        <v>39</v>
      </c>
      <c r="C20">
        <v>313</v>
      </c>
      <c r="D20" s="8">
        <v>1079.3800000000001</v>
      </c>
      <c r="E20">
        <v>220</v>
      </c>
    </row>
    <row r="21" spans="1:5" x14ac:dyDescent="0.35">
      <c r="A21" t="s">
        <v>17</v>
      </c>
      <c r="B21" s="7" t="s">
        <v>40</v>
      </c>
      <c r="C21">
        <v>215</v>
      </c>
      <c r="D21" s="8">
        <v>871.43</v>
      </c>
      <c r="E21">
        <v>212</v>
      </c>
    </row>
    <row r="22" spans="1:5" x14ac:dyDescent="0.35">
      <c r="A22" t="s">
        <v>17</v>
      </c>
      <c r="B22" s="7" t="s">
        <v>41</v>
      </c>
      <c r="C22">
        <v>265</v>
      </c>
      <c r="D22" s="8">
        <v>992.35</v>
      </c>
      <c r="E22">
        <v>183</v>
      </c>
    </row>
    <row r="23" spans="1:5" x14ac:dyDescent="0.35">
      <c r="A23" t="s">
        <v>17</v>
      </c>
      <c r="B23" s="7" t="s">
        <v>42</v>
      </c>
      <c r="C23">
        <v>240</v>
      </c>
      <c r="D23" s="8">
        <v>742.8</v>
      </c>
      <c r="E23">
        <v>166</v>
      </c>
    </row>
    <row r="24" spans="1:5" x14ac:dyDescent="0.35">
      <c r="A24" t="s">
        <v>17</v>
      </c>
      <c r="B24" s="7" t="s">
        <v>43</v>
      </c>
      <c r="C24">
        <v>292</v>
      </c>
      <c r="D24" s="8">
        <v>928.3</v>
      </c>
      <c r="E24">
        <v>202</v>
      </c>
    </row>
    <row r="25" spans="1:5" x14ac:dyDescent="0.35">
      <c r="A25" t="s">
        <v>17</v>
      </c>
      <c r="B25" s="7" t="s">
        <v>44</v>
      </c>
      <c r="C25">
        <v>292</v>
      </c>
      <c r="D25" s="8">
        <v>922.05</v>
      </c>
      <c r="E25">
        <v>202</v>
      </c>
    </row>
    <row r="26" spans="1:5" x14ac:dyDescent="0.35">
      <c r="A26" t="s">
        <v>17</v>
      </c>
      <c r="B26" s="7" t="s">
        <v>45</v>
      </c>
      <c r="C26">
        <v>314</v>
      </c>
      <c r="D26" s="8">
        <v>942</v>
      </c>
      <c r="E26">
        <v>216</v>
      </c>
    </row>
    <row r="27" spans="1:5" x14ac:dyDescent="0.35">
      <c r="A27" t="s">
        <v>17</v>
      </c>
      <c r="B27" s="7" t="s">
        <v>46</v>
      </c>
      <c r="C27">
        <v>308</v>
      </c>
      <c r="D27" s="8">
        <v>939.25</v>
      </c>
      <c r="E27">
        <v>215</v>
      </c>
    </row>
    <row r="28" spans="1:5" x14ac:dyDescent="0.35">
      <c r="A28" t="s">
        <v>17</v>
      </c>
      <c r="B28" s="7" t="s">
        <v>47</v>
      </c>
      <c r="C28">
        <v>273</v>
      </c>
      <c r="D28" s="8">
        <v>838.55</v>
      </c>
      <c r="E28">
        <v>192</v>
      </c>
    </row>
    <row r="29" spans="1:5" x14ac:dyDescent="0.35">
      <c r="A29" t="s">
        <v>17</v>
      </c>
      <c r="B29" s="7" t="s">
        <v>48</v>
      </c>
      <c r="C29">
        <v>244</v>
      </c>
      <c r="D29" s="8">
        <v>733.25</v>
      </c>
      <c r="E29">
        <v>168</v>
      </c>
    </row>
    <row r="30" spans="1:5" x14ac:dyDescent="0.35">
      <c r="A30" t="s">
        <v>17</v>
      </c>
      <c r="B30" s="7" t="s">
        <v>49</v>
      </c>
      <c r="C30">
        <v>261</v>
      </c>
      <c r="D30" s="8">
        <v>820.7</v>
      </c>
      <c r="E30">
        <v>184</v>
      </c>
    </row>
    <row r="31" spans="1:5" x14ac:dyDescent="0.35">
      <c r="A31" t="s">
        <v>17</v>
      </c>
      <c r="B31" s="7" t="s">
        <v>50</v>
      </c>
      <c r="C31">
        <v>242</v>
      </c>
      <c r="D31" s="8">
        <v>870.6</v>
      </c>
      <c r="E31">
        <v>172</v>
      </c>
    </row>
    <row r="32" spans="1:5" x14ac:dyDescent="0.35">
      <c r="A32" t="s">
        <v>17</v>
      </c>
      <c r="B32" s="7" t="s">
        <v>51</v>
      </c>
      <c r="C32">
        <v>219</v>
      </c>
      <c r="D32" s="8">
        <v>801.5</v>
      </c>
      <c r="E32">
        <v>165</v>
      </c>
    </row>
    <row r="33" spans="1:5" x14ac:dyDescent="0.35">
      <c r="A33" t="s">
        <v>17</v>
      </c>
      <c r="B33" s="7" t="s">
        <v>52</v>
      </c>
      <c r="C33">
        <v>272</v>
      </c>
      <c r="D33" s="8">
        <v>833.7</v>
      </c>
      <c r="E33">
        <v>188</v>
      </c>
    </row>
    <row r="34" spans="1:5" x14ac:dyDescent="0.35">
      <c r="A34" t="s">
        <v>17</v>
      </c>
      <c r="B34" s="7" t="s">
        <v>53</v>
      </c>
      <c r="C34">
        <v>302</v>
      </c>
      <c r="D34" s="8">
        <v>944.8</v>
      </c>
      <c r="E34">
        <v>210</v>
      </c>
    </row>
    <row r="35" spans="1:5" x14ac:dyDescent="0.35">
      <c r="A35" t="s">
        <v>17</v>
      </c>
      <c r="B35" s="7" t="s">
        <v>54</v>
      </c>
      <c r="C35">
        <v>301</v>
      </c>
      <c r="D35" s="8">
        <v>940.2</v>
      </c>
      <c r="E35">
        <v>214</v>
      </c>
    </row>
    <row r="36" spans="1:5" x14ac:dyDescent="0.35">
      <c r="A36" t="s">
        <v>17</v>
      </c>
      <c r="B36" s="7" t="s">
        <v>55</v>
      </c>
      <c r="C36">
        <v>271</v>
      </c>
      <c r="D36" s="8">
        <v>825.95</v>
      </c>
      <c r="E36">
        <v>191</v>
      </c>
    </row>
    <row r="37" spans="1:5" x14ac:dyDescent="0.35">
      <c r="A37" t="s">
        <v>17</v>
      </c>
      <c r="B37" s="7" t="s">
        <v>56</v>
      </c>
      <c r="C37">
        <v>283</v>
      </c>
      <c r="D37" s="8">
        <v>871.25</v>
      </c>
      <c r="E37">
        <v>208</v>
      </c>
    </row>
    <row r="38" spans="1:5" x14ac:dyDescent="0.35">
      <c r="A38" t="s">
        <v>17</v>
      </c>
      <c r="B38" s="7" t="s">
        <v>57</v>
      </c>
      <c r="C38">
        <v>209</v>
      </c>
      <c r="D38" s="8">
        <v>655.35</v>
      </c>
      <c r="E38">
        <v>139</v>
      </c>
    </row>
    <row r="39" spans="1:5" x14ac:dyDescent="0.35">
      <c r="A39" t="s">
        <v>17</v>
      </c>
      <c r="B39" s="7" t="s">
        <v>58</v>
      </c>
      <c r="C39">
        <v>255</v>
      </c>
      <c r="D39" s="8">
        <v>804.3</v>
      </c>
      <c r="E39">
        <v>185</v>
      </c>
    </row>
    <row r="40" spans="1:5" x14ac:dyDescent="0.35">
      <c r="A40" t="s">
        <v>17</v>
      </c>
      <c r="B40" s="7" t="s">
        <v>59</v>
      </c>
      <c r="C40">
        <v>263</v>
      </c>
      <c r="D40" s="8">
        <v>928.8</v>
      </c>
      <c r="E40">
        <v>191</v>
      </c>
    </row>
    <row r="41" spans="1:5" x14ac:dyDescent="0.35">
      <c r="A41" t="s">
        <v>17</v>
      </c>
      <c r="B41" s="7" t="s">
        <v>60</v>
      </c>
      <c r="C41">
        <v>225</v>
      </c>
      <c r="D41" s="8">
        <v>866.8</v>
      </c>
      <c r="E41">
        <v>182</v>
      </c>
    </row>
    <row r="42" spans="1:5" x14ac:dyDescent="0.35">
      <c r="A42" t="s">
        <v>17</v>
      </c>
      <c r="B42" s="7" t="s">
        <v>61</v>
      </c>
      <c r="C42">
        <v>297</v>
      </c>
      <c r="D42" s="8">
        <v>868</v>
      </c>
      <c r="E42">
        <v>199</v>
      </c>
    </row>
    <row r="43" spans="1:5" x14ac:dyDescent="0.35">
      <c r="A43" t="s">
        <v>17</v>
      </c>
      <c r="B43" s="7" t="s">
        <v>62</v>
      </c>
      <c r="C43">
        <v>212</v>
      </c>
      <c r="D43" s="8">
        <v>670.05</v>
      </c>
      <c r="E43">
        <v>155</v>
      </c>
    </row>
    <row r="44" spans="1:5" x14ac:dyDescent="0.35">
      <c r="A44" t="s">
        <v>17</v>
      </c>
      <c r="B44" s="7" t="s">
        <v>63</v>
      </c>
      <c r="C44">
        <v>207</v>
      </c>
      <c r="D44" s="8">
        <v>680.6</v>
      </c>
      <c r="E44">
        <v>142</v>
      </c>
    </row>
    <row r="45" spans="1:5" x14ac:dyDescent="0.35">
      <c r="A45" t="s">
        <v>17</v>
      </c>
      <c r="B45" s="7" t="s">
        <v>64</v>
      </c>
      <c r="C45">
        <v>212</v>
      </c>
      <c r="D45" s="8">
        <v>641.9</v>
      </c>
      <c r="E45">
        <v>149</v>
      </c>
    </row>
    <row r="46" spans="1:5" x14ac:dyDescent="0.35">
      <c r="A46" t="s">
        <v>17</v>
      </c>
      <c r="B46" s="7" t="s">
        <v>65</v>
      </c>
      <c r="C46">
        <v>210</v>
      </c>
      <c r="D46" s="8">
        <v>747.05</v>
      </c>
      <c r="E46">
        <v>151</v>
      </c>
    </row>
    <row r="47" spans="1:5" x14ac:dyDescent="0.35">
      <c r="A47" t="s">
        <v>17</v>
      </c>
      <c r="B47" s="7" t="s">
        <v>66</v>
      </c>
      <c r="C47">
        <v>375</v>
      </c>
      <c r="D47" s="8">
        <v>1254.95</v>
      </c>
      <c r="E47">
        <v>262</v>
      </c>
    </row>
    <row r="48" spans="1:5" x14ac:dyDescent="0.35">
      <c r="A48" t="s">
        <v>17</v>
      </c>
      <c r="B48" s="7" t="s">
        <v>67</v>
      </c>
      <c r="C48">
        <v>341</v>
      </c>
      <c r="D48" s="8">
        <v>1191.3</v>
      </c>
      <c r="E48">
        <v>243</v>
      </c>
    </row>
    <row r="49" spans="1:5" x14ac:dyDescent="0.35">
      <c r="A49" t="s">
        <v>17</v>
      </c>
      <c r="B49" s="7" t="s">
        <v>68</v>
      </c>
      <c r="C49">
        <v>298</v>
      </c>
      <c r="D49" s="8">
        <v>967.6</v>
      </c>
      <c r="E49">
        <v>214</v>
      </c>
    </row>
    <row r="50" spans="1:5" x14ac:dyDescent="0.35">
      <c r="A50" t="s">
        <v>17</v>
      </c>
      <c r="B50" s="7" t="s">
        <v>69</v>
      </c>
      <c r="C50">
        <v>297</v>
      </c>
      <c r="D50" s="8">
        <v>1069.53</v>
      </c>
      <c r="E50">
        <v>202</v>
      </c>
    </row>
    <row r="51" spans="1:5" x14ac:dyDescent="0.35">
      <c r="A51" t="s">
        <v>17</v>
      </c>
      <c r="B51" s="7" t="s">
        <v>70</v>
      </c>
      <c r="C51">
        <v>342</v>
      </c>
      <c r="D51" s="8">
        <v>1164.4000000000001</v>
      </c>
      <c r="E51">
        <v>250</v>
      </c>
    </row>
    <row r="52" spans="1:5" x14ac:dyDescent="0.35">
      <c r="A52" t="s">
        <v>17</v>
      </c>
      <c r="B52" s="7" t="s">
        <v>71</v>
      </c>
      <c r="C52">
        <v>209</v>
      </c>
      <c r="D52" s="8">
        <v>760.23</v>
      </c>
      <c r="E52">
        <v>205</v>
      </c>
    </row>
    <row r="53" spans="1:5" x14ac:dyDescent="0.35">
      <c r="A53" t="s">
        <v>17</v>
      </c>
      <c r="B53" s="7" t="s">
        <v>72</v>
      </c>
      <c r="C53">
        <v>238</v>
      </c>
      <c r="D53" s="8">
        <v>870.48</v>
      </c>
      <c r="E53">
        <v>168</v>
      </c>
    </row>
    <row r="54" spans="1:5" x14ac:dyDescent="0.35">
      <c r="A54" t="s">
        <v>17</v>
      </c>
      <c r="B54" s="7" t="s">
        <v>73</v>
      </c>
      <c r="C54">
        <v>334</v>
      </c>
      <c r="D54" s="8">
        <v>1037.5</v>
      </c>
      <c r="E54">
        <v>214</v>
      </c>
    </row>
    <row r="55" spans="1:5" x14ac:dyDescent="0.35">
      <c r="A55" t="s">
        <v>17</v>
      </c>
      <c r="B55" s="7" t="s">
        <v>74</v>
      </c>
      <c r="C55">
        <v>283</v>
      </c>
      <c r="D55" s="8">
        <v>904.5</v>
      </c>
      <c r="E55">
        <v>200</v>
      </c>
    </row>
    <row r="56" spans="1:5" x14ac:dyDescent="0.35">
      <c r="A56" t="s">
        <v>17</v>
      </c>
      <c r="B56" s="7" t="s">
        <v>75</v>
      </c>
      <c r="C56">
        <v>303</v>
      </c>
      <c r="D56" s="8">
        <v>986.9</v>
      </c>
      <c r="E56">
        <v>213</v>
      </c>
    </row>
    <row r="57" spans="1:5" x14ac:dyDescent="0.35">
      <c r="A57" t="s">
        <v>17</v>
      </c>
      <c r="B57" s="7" t="s">
        <v>76</v>
      </c>
      <c r="C57">
        <v>266</v>
      </c>
      <c r="D57" s="8">
        <v>813.55</v>
      </c>
      <c r="E57">
        <v>185</v>
      </c>
    </row>
    <row r="58" spans="1:5" x14ac:dyDescent="0.35">
      <c r="A58" t="s">
        <v>17</v>
      </c>
      <c r="B58" s="7" t="s">
        <v>77</v>
      </c>
      <c r="C58">
        <v>337</v>
      </c>
      <c r="D58" s="8">
        <v>1030.9000000000001</v>
      </c>
      <c r="E58">
        <v>233</v>
      </c>
    </row>
    <row r="59" spans="1:5" x14ac:dyDescent="0.35">
      <c r="A59" t="s">
        <v>17</v>
      </c>
      <c r="B59" s="7" t="s">
        <v>78</v>
      </c>
      <c r="C59">
        <v>301</v>
      </c>
      <c r="D59" s="8">
        <v>931.85</v>
      </c>
      <c r="E59">
        <v>208</v>
      </c>
    </row>
    <row r="60" spans="1:5" x14ac:dyDescent="0.35">
      <c r="A60" t="s">
        <v>17</v>
      </c>
      <c r="B60" s="7" t="s">
        <v>79</v>
      </c>
      <c r="C60">
        <v>275</v>
      </c>
      <c r="D60" s="8">
        <v>842.9</v>
      </c>
      <c r="E60">
        <v>189</v>
      </c>
    </row>
    <row r="61" spans="1:5" x14ac:dyDescent="0.35">
      <c r="A61" t="s">
        <v>17</v>
      </c>
      <c r="B61" s="7" t="s">
        <v>80</v>
      </c>
      <c r="C61">
        <v>328</v>
      </c>
      <c r="D61" s="8">
        <v>1021.1</v>
      </c>
      <c r="E61">
        <v>229</v>
      </c>
    </row>
    <row r="62" spans="1:5" x14ac:dyDescent="0.35">
      <c r="A62" t="s">
        <v>17</v>
      </c>
      <c r="B62" s="7" t="s">
        <v>81</v>
      </c>
      <c r="C62">
        <v>352</v>
      </c>
      <c r="D62" s="8">
        <v>1088.4000000000001</v>
      </c>
      <c r="E62">
        <v>243</v>
      </c>
    </row>
    <row r="63" spans="1:5" x14ac:dyDescent="0.35">
      <c r="A63" t="s">
        <v>17</v>
      </c>
      <c r="B63" s="7" t="s">
        <v>82</v>
      </c>
      <c r="C63">
        <v>371</v>
      </c>
      <c r="D63" s="8">
        <v>1160.3499999999999</v>
      </c>
      <c r="E63">
        <v>264</v>
      </c>
    </row>
    <row r="64" spans="1:5" x14ac:dyDescent="0.35">
      <c r="A64" t="s">
        <v>17</v>
      </c>
      <c r="B64" s="7" t="s">
        <v>83</v>
      </c>
      <c r="C64">
        <v>328</v>
      </c>
      <c r="D64" s="8">
        <v>1008.75</v>
      </c>
      <c r="E64">
        <v>228</v>
      </c>
    </row>
    <row r="65" spans="1:5" x14ac:dyDescent="0.35">
      <c r="A65" t="s">
        <v>17</v>
      </c>
      <c r="B65" s="7" t="s">
        <v>84</v>
      </c>
      <c r="C65">
        <v>355</v>
      </c>
      <c r="D65" s="8">
        <v>1097.1500000000001</v>
      </c>
      <c r="E65">
        <v>253</v>
      </c>
    </row>
    <row r="66" spans="1:5" x14ac:dyDescent="0.35">
      <c r="A66" t="s">
        <v>17</v>
      </c>
      <c r="B66" s="7" t="s">
        <v>85</v>
      </c>
      <c r="C66">
        <v>231</v>
      </c>
      <c r="D66" s="8">
        <v>732.75</v>
      </c>
      <c r="E66">
        <v>169</v>
      </c>
    </row>
    <row r="67" spans="1:5" x14ac:dyDescent="0.35">
      <c r="A67" t="s">
        <v>17</v>
      </c>
      <c r="B67" s="7" t="s">
        <v>86</v>
      </c>
      <c r="C67">
        <v>293</v>
      </c>
      <c r="D67" s="8">
        <v>921.3</v>
      </c>
      <c r="E67">
        <v>212</v>
      </c>
    </row>
    <row r="68" spans="1:5" x14ac:dyDescent="0.35">
      <c r="A68" t="s">
        <v>17</v>
      </c>
      <c r="B68" s="7" t="s">
        <v>87</v>
      </c>
      <c r="C68">
        <v>332</v>
      </c>
      <c r="D68" s="8">
        <v>1209.08</v>
      </c>
      <c r="E68">
        <v>241</v>
      </c>
    </row>
    <row r="69" spans="1:5" x14ac:dyDescent="0.35">
      <c r="A69" t="s">
        <v>17</v>
      </c>
      <c r="B69" s="7" t="s">
        <v>88</v>
      </c>
      <c r="C69">
        <v>249</v>
      </c>
      <c r="D69" s="8">
        <v>908.83</v>
      </c>
      <c r="E69">
        <v>199</v>
      </c>
    </row>
    <row r="70" spans="1:5" x14ac:dyDescent="0.35">
      <c r="A70" t="s">
        <v>17</v>
      </c>
      <c r="B70" s="7" t="s">
        <v>89</v>
      </c>
      <c r="C70">
        <v>327</v>
      </c>
      <c r="D70" s="8">
        <v>1081.2</v>
      </c>
      <c r="E70">
        <v>230</v>
      </c>
    </row>
    <row r="71" spans="1:5" x14ac:dyDescent="0.35">
      <c r="A71" t="s">
        <v>17</v>
      </c>
      <c r="B71" s="7" t="s">
        <v>90</v>
      </c>
      <c r="C71">
        <v>295</v>
      </c>
      <c r="D71" s="8">
        <v>995.25</v>
      </c>
      <c r="E71">
        <v>201</v>
      </c>
    </row>
    <row r="72" spans="1:5" x14ac:dyDescent="0.35">
      <c r="A72" t="s">
        <v>17</v>
      </c>
      <c r="B72" s="7" t="s">
        <v>91</v>
      </c>
      <c r="C72">
        <v>202</v>
      </c>
      <c r="D72" s="8">
        <v>664.13</v>
      </c>
      <c r="E72">
        <v>144</v>
      </c>
    </row>
    <row r="73" spans="1:5" x14ac:dyDescent="0.35">
      <c r="A73" t="s">
        <v>17</v>
      </c>
      <c r="B73" s="7" t="s">
        <v>92</v>
      </c>
      <c r="C73">
        <v>282</v>
      </c>
      <c r="D73" s="8">
        <v>846.1</v>
      </c>
      <c r="E73">
        <v>199</v>
      </c>
    </row>
    <row r="74" spans="1:5" x14ac:dyDescent="0.35">
      <c r="A74" t="s">
        <v>17</v>
      </c>
      <c r="B74" s="7" t="s">
        <v>93</v>
      </c>
      <c r="C74">
        <v>257</v>
      </c>
      <c r="D74" s="8">
        <v>966.55</v>
      </c>
      <c r="E74">
        <v>183</v>
      </c>
    </row>
    <row r="75" spans="1:5" x14ac:dyDescent="0.35">
      <c r="A75" t="s">
        <v>17</v>
      </c>
      <c r="B75" s="7" t="s">
        <v>94</v>
      </c>
      <c r="C75">
        <v>398</v>
      </c>
      <c r="D75" s="8">
        <v>1417.45</v>
      </c>
      <c r="E75">
        <v>283</v>
      </c>
    </row>
    <row r="76" spans="1:5" x14ac:dyDescent="0.35">
      <c r="A76" t="s">
        <v>17</v>
      </c>
      <c r="B76" s="7" t="s">
        <v>95</v>
      </c>
      <c r="C76">
        <v>359</v>
      </c>
      <c r="D76" s="8">
        <v>1149.1300000000001</v>
      </c>
      <c r="E76">
        <v>258</v>
      </c>
    </row>
    <row r="77" spans="1:5" x14ac:dyDescent="0.35">
      <c r="A77" t="s">
        <v>17</v>
      </c>
      <c r="B77" s="7" t="s">
        <v>96</v>
      </c>
      <c r="C77">
        <v>408</v>
      </c>
      <c r="D77" s="8">
        <v>1440.45</v>
      </c>
      <c r="E77">
        <v>296</v>
      </c>
    </row>
    <row r="78" spans="1:5" x14ac:dyDescent="0.35">
      <c r="A78" t="s">
        <v>17</v>
      </c>
      <c r="B78" s="7" t="s">
        <v>97</v>
      </c>
      <c r="C78">
        <v>353</v>
      </c>
      <c r="D78" s="8">
        <v>1207.58</v>
      </c>
      <c r="E78">
        <v>260</v>
      </c>
    </row>
    <row r="79" spans="1:5" x14ac:dyDescent="0.35">
      <c r="A79" t="s">
        <v>17</v>
      </c>
      <c r="B79" s="7" t="s">
        <v>98</v>
      </c>
      <c r="C79">
        <v>392</v>
      </c>
      <c r="D79" s="8">
        <v>1488.5</v>
      </c>
      <c r="E79">
        <v>279</v>
      </c>
    </row>
    <row r="80" spans="1:5" x14ac:dyDescent="0.35">
      <c r="A80" t="s">
        <v>17</v>
      </c>
      <c r="B80" s="7" t="s">
        <v>99</v>
      </c>
      <c r="C80">
        <v>285</v>
      </c>
      <c r="D80" s="8">
        <v>1113.08</v>
      </c>
      <c r="E80">
        <v>280</v>
      </c>
    </row>
    <row r="81" spans="1:5" x14ac:dyDescent="0.35">
      <c r="A81" t="s">
        <v>17</v>
      </c>
      <c r="B81" s="7" t="s">
        <v>100</v>
      </c>
      <c r="C81">
        <v>236</v>
      </c>
      <c r="D81" s="8">
        <v>835.85</v>
      </c>
      <c r="E81">
        <v>171</v>
      </c>
    </row>
    <row r="82" spans="1:5" x14ac:dyDescent="0.35">
      <c r="A82" t="s">
        <v>17</v>
      </c>
      <c r="B82" s="7" t="s">
        <v>101</v>
      </c>
      <c r="C82">
        <v>367</v>
      </c>
      <c r="D82" s="8">
        <v>1124.55</v>
      </c>
      <c r="E82">
        <v>252</v>
      </c>
    </row>
    <row r="83" spans="1:5" x14ac:dyDescent="0.35">
      <c r="A83" t="s">
        <v>17</v>
      </c>
      <c r="B83" s="7" t="s">
        <v>102</v>
      </c>
      <c r="C83">
        <v>328</v>
      </c>
      <c r="D83" s="8">
        <v>1060.55</v>
      </c>
      <c r="E83">
        <v>234</v>
      </c>
    </row>
    <row r="84" spans="1:5" x14ac:dyDescent="0.35">
      <c r="A84" t="s">
        <v>17</v>
      </c>
      <c r="B84" s="7" t="s">
        <v>103</v>
      </c>
      <c r="C84">
        <v>355</v>
      </c>
      <c r="D84" s="8">
        <v>1123.2</v>
      </c>
      <c r="E84">
        <v>246</v>
      </c>
    </row>
    <row r="85" spans="1:5" x14ac:dyDescent="0.35">
      <c r="A85" t="s">
        <v>17</v>
      </c>
      <c r="B85" s="7" t="s">
        <v>104</v>
      </c>
      <c r="C85">
        <v>337</v>
      </c>
      <c r="D85" s="8">
        <v>1025.75</v>
      </c>
      <c r="E85">
        <v>237</v>
      </c>
    </row>
    <row r="86" spans="1:5" x14ac:dyDescent="0.35">
      <c r="A86" t="s">
        <v>17</v>
      </c>
      <c r="B86" s="7" t="s">
        <v>105</v>
      </c>
      <c r="C86">
        <v>391</v>
      </c>
      <c r="D86" s="8">
        <v>1208.6500000000001</v>
      </c>
      <c r="E86">
        <v>268</v>
      </c>
    </row>
    <row r="87" spans="1:5" x14ac:dyDescent="0.35">
      <c r="A87" t="s">
        <v>17</v>
      </c>
      <c r="B87" s="7" t="s">
        <v>106</v>
      </c>
      <c r="C87">
        <v>360</v>
      </c>
      <c r="D87" s="8">
        <v>1124</v>
      </c>
      <c r="E87">
        <v>249</v>
      </c>
    </row>
    <row r="88" spans="1:5" x14ac:dyDescent="0.35">
      <c r="A88" t="s">
        <v>17</v>
      </c>
      <c r="B88" s="7" t="s">
        <v>107</v>
      </c>
      <c r="C88">
        <v>312</v>
      </c>
      <c r="D88" s="8">
        <v>954.75</v>
      </c>
      <c r="E88">
        <v>213</v>
      </c>
    </row>
    <row r="89" spans="1:5" x14ac:dyDescent="0.35">
      <c r="A89" t="s">
        <v>17</v>
      </c>
      <c r="B89" s="7" t="s">
        <v>108</v>
      </c>
      <c r="C89">
        <v>317</v>
      </c>
      <c r="D89" s="8">
        <v>978.8</v>
      </c>
      <c r="E89">
        <v>231</v>
      </c>
    </row>
    <row r="90" spans="1:5" x14ac:dyDescent="0.35">
      <c r="A90" t="s">
        <v>17</v>
      </c>
      <c r="B90" s="7" t="s">
        <v>109</v>
      </c>
      <c r="C90">
        <v>307</v>
      </c>
      <c r="D90" s="8">
        <v>967.05</v>
      </c>
      <c r="E90">
        <v>218</v>
      </c>
    </row>
    <row r="91" spans="1:5" x14ac:dyDescent="0.35">
      <c r="A91" t="s">
        <v>17</v>
      </c>
      <c r="B91" s="7" t="s">
        <v>110</v>
      </c>
      <c r="C91">
        <v>292</v>
      </c>
      <c r="D91" s="8">
        <v>915.15</v>
      </c>
      <c r="E91">
        <v>210</v>
      </c>
    </row>
    <row r="92" spans="1:5" x14ac:dyDescent="0.35">
      <c r="A92" t="s">
        <v>17</v>
      </c>
      <c r="B92" s="7" t="s">
        <v>111</v>
      </c>
      <c r="C92">
        <v>433</v>
      </c>
      <c r="D92" s="8">
        <v>1316.5</v>
      </c>
      <c r="E92">
        <v>302</v>
      </c>
    </row>
    <row r="93" spans="1:5" x14ac:dyDescent="0.35">
      <c r="A93" t="s">
        <v>17</v>
      </c>
      <c r="B93" s="7" t="s">
        <v>112</v>
      </c>
      <c r="C93">
        <v>430</v>
      </c>
      <c r="D93" s="8">
        <v>1351.35</v>
      </c>
      <c r="E93">
        <v>294</v>
      </c>
    </row>
    <row r="94" spans="1:5" x14ac:dyDescent="0.35">
      <c r="A94" t="s">
        <v>17</v>
      </c>
      <c r="B94" s="7" t="s">
        <v>113</v>
      </c>
      <c r="C94">
        <v>429</v>
      </c>
      <c r="D94" s="8">
        <v>1333.4</v>
      </c>
      <c r="E94">
        <v>298</v>
      </c>
    </row>
    <row r="95" spans="1:5" x14ac:dyDescent="0.35">
      <c r="A95" t="s">
        <v>17</v>
      </c>
      <c r="B95" s="7" t="s">
        <v>114</v>
      </c>
      <c r="C95">
        <v>371</v>
      </c>
      <c r="D95" s="8">
        <v>1150.75</v>
      </c>
      <c r="E95">
        <v>262</v>
      </c>
    </row>
    <row r="96" spans="1:5" x14ac:dyDescent="0.35">
      <c r="A96" t="s">
        <v>17</v>
      </c>
      <c r="B96" s="7" t="s">
        <v>115</v>
      </c>
      <c r="C96">
        <v>400</v>
      </c>
      <c r="D96" s="8">
        <v>1242.1500000000001</v>
      </c>
      <c r="E96">
        <v>290</v>
      </c>
    </row>
    <row r="97" spans="1:5" x14ac:dyDescent="0.35">
      <c r="A97" t="s">
        <v>17</v>
      </c>
      <c r="B97" s="7" t="s">
        <v>116</v>
      </c>
      <c r="C97">
        <v>318</v>
      </c>
      <c r="D97" s="8">
        <v>1002.95</v>
      </c>
      <c r="E97">
        <v>227</v>
      </c>
    </row>
    <row r="98" spans="1:5" x14ac:dyDescent="0.35">
      <c r="A98" t="s">
        <v>17</v>
      </c>
      <c r="B98" s="7" t="s">
        <v>117</v>
      </c>
      <c r="C98">
        <v>363</v>
      </c>
      <c r="D98" s="8">
        <v>1138.5999999999999</v>
      </c>
      <c r="E98">
        <v>262</v>
      </c>
    </row>
    <row r="99" spans="1:5" x14ac:dyDescent="0.35">
      <c r="A99" t="s">
        <v>17</v>
      </c>
      <c r="B99" s="7" t="s">
        <v>118</v>
      </c>
      <c r="C99">
        <v>444</v>
      </c>
      <c r="D99" s="8">
        <v>1631.93</v>
      </c>
      <c r="E99">
        <v>316</v>
      </c>
    </row>
    <row r="100" spans="1:5" x14ac:dyDescent="0.35">
      <c r="A100" t="s">
        <v>17</v>
      </c>
      <c r="B100" s="7" t="s">
        <v>119</v>
      </c>
      <c r="C100">
        <v>320</v>
      </c>
      <c r="D100" s="8">
        <v>1192.18</v>
      </c>
      <c r="E100">
        <v>254</v>
      </c>
    </row>
    <row r="101" spans="1:5" x14ac:dyDescent="0.35">
      <c r="A101" t="s">
        <v>17</v>
      </c>
      <c r="B101" s="7" t="s">
        <v>120</v>
      </c>
      <c r="C101">
        <v>416</v>
      </c>
      <c r="D101" s="8">
        <v>1355.45</v>
      </c>
      <c r="E101">
        <v>288</v>
      </c>
    </row>
    <row r="102" spans="1:5" x14ac:dyDescent="0.35">
      <c r="A102" t="s">
        <v>17</v>
      </c>
      <c r="B102" s="7" t="s">
        <v>121</v>
      </c>
      <c r="C102">
        <v>411</v>
      </c>
      <c r="D102" s="8">
        <v>1295</v>
      </c>
      <c r="E102">
        <v>278</v>
      </c>
    </row>
    <row r="103" spans="1:5" x14ac:dyDescent="0.35">
      <c r="A103" t="s">
        <v>17</v>
      </c>
      <c r="B103" s="7" t="s">
        <v>122</v>
      </c>
      <c r="C103">
        <v>287</v>
      </c>
      <c r="D103" s="8">
        <v>958.63</v>
      </c>
      <c r="E103">
        <v>203</v>
      </c>
    </row>
    <row r="104" spans="1:5" x14ac:dyDescent="0.35">
      <c r="A104" t="s">
        <v>17</v>
      </c>
      <c r="B104" s="7" t="s">
        <v>123</v>
      </c>
      <c r="C104">
        <v>353</v>
      </c>
      <c r="D104" s="8">
        <v>1069.7</v>
      </c>
      <c r="E104">
        <v>259</v>
      </c>
    </row>
    <row r="105" spans="1:5" x14ac:dyDescent="0.35">
      <c r="A105" t="s">
        <v>17</v>
      </c>
      <c r="B105" s="7" t="s">
        <v>124</v>
      </c>
      <c r="C105">
        <v>322</v>
      </c>
      <c r="D105" s="8">
        <v>1195.83</v>
      </c>
      <c r="E105">
        <v>223</v>
      </c>
    </row>
    <row r="106" spans="1:5" x14ac:dyDescent="0.35">
      <c r="A106" t="s">
        <v>17</v>
      </c>
      <c r="B106" s="7" t="s">
        <v>125</v>
      </c>
      <c r="C106">
        <v>470</v>
      </c>
      <c r="D106" s="8">
        <v>1622.66</v>
      </c>
      <c r="E106">
        <v>326</v>
      </c>
    </row>
    <row r="107" spans="1:5" x14ac:dyDescent="0.35">
      <c r="A107" t="s">
        <v>17</v>
      </c>
      <c r="B107" s="7" t="s">
        <v>126</v>
      </c>
      <c r="C107">
        <v>451</v>
      </c>
      <c r="D107" s="8">
        <v>1482.08</v>
      </c>
      <c r="E107">
        <v>327</v>
      </c>
    </row>
    <row r="108" spans="1:5" x14ac:dyDescent="0.35">
      <c r="A108" t="s">
        <v>17</v>
      </c>
      <c r="B108" s="7" t="s">
        <v>127</v>
      </c>
      <c r="C108">
        <v>457</v>
      </c>
      <c r="D108" s="8">
        <v>1543.6</v>
      </c>
      <c r="E108">
        <v>315</v>
      </c>
    </row>
    <row r="109" spans="1:5" x14ac:dyDescent="0.35">
      <c r="A109" t="s">
        <v>17</v>
      </c>
      <c r="B109" s="7" t="s">
        <v>128</v>
      </c>
      <c r="C109">
        <v>453</v>
      </c>
      <c r="D109" s="8">
        <v>1608.79</v>
      </c>
      <c r="E109">
        <v>322</v>
      </c>
    </row>
    <row r="110" spans="1:5" x14ac:dyDescent="0.35">
      <c r="A110" t="s">
        <v>17</v>
      </c>
      <c r="B110" s="7" t="s">
        <v>129</v>
      </c>
      <c r="C110">
        <v>488</v>
      </c>
      <c r="D110" s="8">
        <v>1738.93</v>
      </c>
      <c r="E110">
        <v>349</v>
      </c>
    </row>
    <row r="111" spans="1:5" x14ac:dyDescent="0.35">
      <c r="A111" t="s">
        <v>17</v>
      </c>
      <c r="B111" s="7" t="s">
        <v>130</v>
      </c>
      <c r="C111">
        <v>294</v>
      </c>
      <c r="D111" s="8">
        <v>1163.95</v>
      </c>
      <c r="E111">
        <v>289</v>
      </c>
    </row>
    <row r="112" spans="1:5" x14ac:dyDescent="0.35">
      <c r="A112" t="s">
        <v>17</v>
      </c>
      <c r="B112" s="7" t="s">
        <v>131</v>
      </c>
      <c r="C112">
        <v>305</v>
      </c>
      <c r="D112" s="8">
        <v>1101.8800000000001</v>
      </c>
      <c r="E112">
        <v>213</v>
      </c>
    </row>
    <row r="113" spans="1:5" x14ac:dyDescent="0.35">
      <c r="A113" t="s">
        <v>17</v>
      </c>
      <c r="B113" s="7" t="s">
        <v>132</v>
      </c>
      <c r="C113">
        <v>414</v>
      </c>
      <c r="D113" s="8">
        <v>1291.95</v>
      </c>
      <c r="E113">
        <v>278</v>
      </c>
    </row>
    <row r="114" spans="1:5" x14ac:dyDescent="0.35">
      <c r="A114" t="s">
        <v>17</v>
      </c>
      <c r="B114" s="7" t="s">
        <v>133</v>
      </c>
      <c r="C114">
        <v>428</v>
      </c>
      <c r="D114" s="8">
        <v>1384.05</v>
      </c>
      <c r="E114">
        <v>296</v>
      </c>
    </row>
    <row r="115" spans="1:5" x14ac:dyDescent="0.35">
      <c r="A115" t="s">
        <v>17</v>
      </c>
      <c r="B115" s="7" t="s">
        <v>134</v>
      </c>
      <c r="C115">
        <v>490</v>
      </c>
      <c r="D115" s="8">
        <v>1539.8</v>
      </c>
      <c r="E115">
        <v>347</v>
      </c>
    </row>
    <row r="116" spans="1:5" x14ac:dyDescent="0.35">
      <c r="A116" t="s">
        <v>17</v>
      </c>
      <c r="B116" s="7" t="s">
        <v>135</v>
      </c>
      <c r="C116">
        <v>430</v>
      </c>
      <c r="D116" s="8">
        <v>1306.0999999999999</v>
      </c>
      <c r="E116">
        <v>301</v>
      </c>
    </row>
    <row r="117" spans="1:5" x14ac:dyDescent="0.35">
      <c r="A117" t="s">
        <v>17</v>
      </c>
      <c r="B117" s="7" t="s">
        <v>136</v>
      </c>
      <c r="C117">
        <v>461</v>
      </c>
      <c r="D117" s="8">
        <v>1447.5</v>
      </c>
      <c r="E117">
        <v>321</v>
      </c>
    </row>
    <row r="118" spans="1:5" x14ac:dyDescent="0.35">
      <c r="A118" t="s">
        <v>17</v>
      </c>
      <c r="B118" s="7" t="s">
        <v>137</v>
      </c>
      <c r="C118">
        <v>461</v>
      </c>
      <c r="D118" s="8">
        <v>1439.55</v>
      </c>
      <c r="E118">
        <v>317</v>
      </c>
    </row>
    <row r="119" spans="1:5" x14ac:dyDescent="0.35">
      <c r="A119" t="s">
        <v>17</v>
      </c>
      <c r="B119" s="7" t="s">
        <v>138</v>
      </c>
      <c r="C119">
        <v>386</v>
      </c>
      <c r="D119" s="8">
        <v>1172.7</v>
      </c>
      <c r="E119">
        <v>270</v>
      </c>
    </row>
    <row r="120" spans="1:5" x14ac:dyDescent="0.35">
      <c r="A120" t="s">
        <v>17</v>
      </c>
      <c r="B120" s="7" t="s">
        <v>139</v>
      </c>
      <c r="C120">
        <v>355</v>
      </c>
      <c r="D120" s="8">
        <v>1124.05</v>
      </c>
      <c r="E120">
        <v>252</v>
      </c>
    </row>
    <row r="121" spans="1:5" x14ac:dyDescent="0.35">
      <c r="A121" t="s">
        <v>17</v>
      </c>
      <c r="B121" s="7" t="s">
        <v>140</v>
      </c>
      <c r="C121">
        <v>386</v>
      </c>
      <c r="D121" s="8">
        <v>1275.5999999999999</v>
      </c>
      <c r="E121">
        <v>277</v>
      </c>
    </row>
    <row r="122" spans="1:5" x14ac:dyDescent="0.35">
      <c r="A122" t="s">
        <v>17</v>
      </c>
      <c r="B122" s="7" t="s">
        <v>141</v>
      </c>
      <c r="C122">
        <v>533</v>
      </c>
      <c r="D122" s="8">
        <v>1657.65</v>
      </c>
      <c r="E122">
        <v>376</v>
      </c>
    </row>
    <row r="123" spans="1:5" x14ac:dyDescent="0.35">
      <c r="A123" t="s">
        <v>17</v>
      </c>
      <c r="B123" s="7" t="s">
        <v>142</v>
      </c>
      <c r="C123">
        <v>564</v>
      </c>
      <c r="D123" s="8">
        <v>1758.45</v>
      </c>
      <c r="E123">
        <v>393</v>
      </c>
    </row>
    <row r="124" spans="1:5" x14ac:dyDescent="0.35">
      <c r="A124" t="s">
        <v>17</v>
      </c>
      <c r="B124" s="7" t="s">
        <v>143</v>
      </c>
      <c r="C124">
        <v>567</v>
      </c>
      <c r="D124" s="8">
        <v>1760.45</v>
      </c>
      <c r="E124">
        <v>402</v>
      </c>
    </row>
    <row r="125" spans="1:5" x14ac:dyDescent="0.35">
      <c r="A125" t="s">
        <v>17</v>
      </c>
      <c r="B125" s="7" t="s">
        <v>144</v>
      </c>
      <c r="C125">
        <v>547</v>
      </c>
      <c r="D125" s="8">
        <v>1709.85</v>
      </c>
      <c r="E125">
        <v>385</v>
      </c>
    </row>
    <row r="126" spans="1:5" x14ac:dyDescent="0.35">
      <c r="A126" t="s">
        <v>17</v>
      </c>
      <c r="B126" s="7" t="s">
        <v>145</v>
      </c>
      <c r="C126">
        <v>554</v>
      </c>
      <c r="D126" s="8">
        <v>1726.65</v>
      </c>
      <c r="E126">
        <v>387</v>
      </c>
    </row>
    <row r="127" spans="1:5" x14ac:dyDescent="0.35">
      <c r="A127" t="s">
        <v>17</v>
      </c>
      <c r="B127" s="7" t="s">
        <v>146</v>
      </c>
      <c r="C127">
        <v>414</v>
      </c>
      <c r="D127" s="8">
        <v>1293.05</v>
      </c>
      <c r="E127">
        <v>291</v>
      </c>
    </row>
    <row r="128" spans="1:5" x14ac:dyDescent="0.35">
      <c r="A128" t="s">
        <v>17</v>
      </c>
      <c r="B128" s="7" t="s">
        <v>147</v>
      </c>
      <c r="C128">
        <v>452</v>
      </c>
      <c r="D128" s="8">
        <v>1416.6</v>
      </c>
      <c r="E128">
        <v>324</v>
      </c>
    </row>
    <row r="129" spans="1:5" x14ac:dyDescent="0.35">
      <c r="A129" t="s">
        <v>17</v>
      </c>
      <c r="B129" s="7" t="s">
        <v>148</v>
      </c>
      <c r="C129">
        <v>546</v>
      </c>
      <c r="D129" s="8">
        <v>1967.68</v>
      </c>
      <c r="E129">
        <v>391</v>
      </c>
    </row>
    <row r="130" spans="1:5" x14ac:dyDescent="0.35">
      <c r="A130" t="s">
        <v>17</v>
      </c>
      <c r="B130" s="7" t="s">
        <v>149</v>
      </c>
      <c r="C130">
        <v>387</v>
      </c>
      <c r="D130" s="8">
        <v>1362.11</v>
      </c>
      <c r="E130">
        <v>313</v>
      </c>
    </row>
    <row r="131" spans="1:5" x14ac:dyDescent="0.35">
      <c r="A131" t="s">
        <v>17</v>
      </c>
      <c r="B131" s="7" t="s">
        <v>150</v>
      </c>
      <c r="C131">
        <v>550</v>
      </c>
      <c r="D131" s="8">
        <v>1716.9</v>
      </c>
      <c r="E131">
        <v>380</v>
      </c>
    </row>
    <row r="132" spans="1:5" x14ac:dyDescent="0.35">
      <c r="A132" t="s">
        <v>17</v>
      </c>
      <c r="B132" s="7" t="s">
        <v>151</v>
      </c>
      <c r="C132">
        <v>443</v>
      </c>
      <c r="D132" s="8">
        <v>1395</v>
      </c>
      <c r="E132">
        <v>313</v>
      </c>
    </row>
    <row r="133" spans="1:5" x14ac:dyDescent="0.35">
      <c r="A133" t="s">
        <v>17</v>
      </c>
      <c r="B133" s="7" t="s">
        <v>152</v>
      </c>
      <c r="C133">
        <v>362</v>
      </c>
      <c r="D133" s="8">
        <v>1175.08</v>
      </c>
      <c r="E133">
        <v>254</v>
      </c>
    </row>
    <row r="134" spans="1:5" x14ac:dyDescent="0.35">
      <c r="A134" t="s">
        <v>17</v>
      </c>
      <c r="B134" s="7" t="s">
        <v>153</v>
      </c>
      <c r="C134">
        <v>439</v>
      </c>
      <c r="D134" s="8">
        <v>1299.8499999999999</v>
      </c>
      <c r="E134">
        <v>315</v>
      </c>
    </row>
    <row r="135" spans="1:5" x14ac:dyDescent="0.35">
      <c r="A135" t="s">
        <v>17</v>
      </c>
      <c r="B135" s="7" t="s">
        <v>154</v>
      </c>
      <c r="C135">
        <v>417</v>
      </c>
      <c r="D135" s="8">
        <v>1482</v>
      </c>
      <c r="E135">
        <v>293</v>
      </c>
    </row>
    <row r="136" spans="1:5" x14ac:dyDescent="0.35">
      <c r="A136" t="s">
        <v>17</v>
      </c>
      <c r="B136" s="7" t="s">
        <v>155</v>
      </c>
      <c r="C136">
        <v>630</v>
      </c>
      <c r="D136" s="8">
        <v>2180.88</v>
      </c>
      <c r="E136">
        <v>447</v>
      </c>
    </row>
    <row r="137" spans="1:5" x14ac:dyDescent="0.35">
      <c r="A137" t="s">
        <v>17</v>
      </c>
      <c r="B137" s="7" t="s">
        <v>156</v>
      </c>
      <c r="C137">
        <v>623</v>
      </c>
      <c r="D137" s="8">
        <v>2042.15</v>
      </c>
      <c r="E137">
        <v>450</v>
      </c>
    </row>
    <row r="138" spans="1:5" x14ac:dyDescent="0.35">
      <c r="A138" t="s">
        <v>17</v>
      </c>
      <c r="B138" s="7" t="s">
        <v>157</v>
      </c>
      <c r="C138">
        <v>566</v>
      </c>
      <c r="D138" s="8">
        <v>1942.5</v>
      </c>
      <c r="E138">
        <v>398</v>
      </c>
    </row>
    <row r="139" spans="1:5" x14ac:dyDescent="0.35">
      <c r="A139" t="s">
        <v>17</v>
      </c>
      <c r="B139" s="7" t="s">
        <v>158</v>
      </c>
      <c r="C139">
        <v>566</v>
      </c>
      <c r="D139" s="8">
        <v>1965.94</v>
      </c>
      <c r="E139">
        <v>397</v>
      </c>
    </row>
    <row r="140" spans="1:5" x14ac:dyDescent="0.35">
      <c r="A140" t="s">
        <v>17</v>
      </c>
      <c r="B140" s="7" t="s">
        <v>159</v>
      </c>
      <c r="C140">
        <v>644</v>
      </c>
      <c r="D140" s="8">
        <v>2184.6999999999998</v>
      </c>
      <c r="E140">
        <v>448</v>
      </c>
    </row>
    <row r="141" spans="1:5" x14ac:dyDescent="0.35">
      <c r="A141" t="s">
        <v>17</v>
      </c>
      <c r="B141" s="7" t="s">
        <v>160</v>
      </c>
      <c r="C141">
        <v>423</v>
      </c>
      <c r="D141" s="8">
        <v>1798.73</v>
      </c>
      <c r="E141">
        <v>416</v>
      </c>
    </row>
    <row r="142" spans="1:5" x14ac:dyDescent="0.35">
      <c r="A142" t="s">
        <v>17</v>
      </c>
      <c r="B142" s="7" t="s">
        <v>161</v>
      </c>
      <c r="C142">
        <v>418</v>
      </c>
      <c r="D142" s="8">
        <v>1568.78</v>
      </c>
      <c r="E142">
        <v>295</v>
      </c>
    </row>
    <row r="143" spans="1:5" x14ac:dyDescent="0.35">
      <c r="A143" t="s">
        <v>17</v>
      </c>
      <c r="B143" s="7" t="s">
        <v>162</v>
      </c>
      <c r="C143">
        <v>582</v>
      </c>
      <c r="D143" s="8">
        <v>1773.15</v>
      </c>
      <c r="E143">
        <v>390</v>
      </c>
    </row>
    <row r="144" spans="1:5" x14ac:dyDescent="0.35">
      <c r="A144" t="s">
        <v>17</v>
      </c>
      <c r="B144" s="7" t="s">
        <v>163</v>
      </c>
      <c r="C144">
        <v>525</v>
      </c>
      <c r="D144" s="8">
        <v>1653.1</v>
      </c>
      <c r="E144">
        <v>359</v>
      </c>
    </row>
    <row r="145" spans="1:5" x14ac:dyDescent="0.35">
      <c r="A145" t="s">
        <v>17</v>
      </c>
      <c r="B145" s="7" t="s">
        <v>164</v>
      </c>
      <c r="C145">
        <v>605</v>
      </c>
      <c r="D145" s="8">
        <v>1889.65</v>
      </c>
      <c r="E145">
        <v>422</v>
      </c>
    </row>
    <row r="146" spans="1:5" x14ac:dyDescent="0.35">
      <c r="A146" t="s">
        <v>17</v>
      </c>
      <c r="B146" s="7" t="s">
        <v>165</v>
      </c>
      <c r="C146">
        <v>528</v>
      </c>
      <c r="D146" s="8">
        <v>1628.15</v>
      </c>
      <c r="E146">
        <v>369</v>
      </c>
    </row>
    <row r="147" spans="1:5" x14ac:dyDescent="0.35">
      <c r="A147" t="s">
        <v>17</v>
      </c>
      <c r="B147" s="7" t="s">
        <v>166</v>
      </c>
      <c r="C147">
        <v>591</v>
      </c>
      <c r="D147" s="8">
        <v>1826.65</v>
      </c>
      <c r="E147">
        <v>409</v>
      </c>
    </row>
    <row r="148" spans="1:5" x14ac:dyDescent="0.35">
      <c r="A148" t="s">
        <v>17</v>
      </c>
      <c r="B148" s="7" t="s">
        <v>167</v>
      </c>
      <c r="C148">
        <v>540</v>
      </c>
      <c r="D148" s="8">
        <v>1661.05</v>
      </c>
      <c r="E148">
        <v>374</v>
      </c>
    </row>
    <row r="149" spans="1:5" x14ac:dyDescent="0.35">
      <c r="A149" t="s">
        <v>17</v>
      </c>
      <c r="B149" s="7" t="s">
        <v>168</v>
      </c>
      <c r="C149">
        <v>531</v>
      </c>
      <c r="D149" s="8">
        <v>1612.85</v>
      </c>
      <c r="E149">
        <v>372</v>
      </c>
    </row>
    <row r="150" spans="1:5" x14ac:dyDescent="0.35">
      <c r="A150" t="s">
        <v>17</v>
      </c>
      <c r="B150" s="7" t="s">
        <v>169</v>
      </c>
      <c r="C150">
        <v>516</v>
      </c>
      <c r="D150" s="8">
        <v>1637.1</v>
      </c>
      <c r="E150">
        <v>363</v>
      </c>
    </row>
    <row r="151" spans="1:5" x14ac:dyDescent="0.35">
      <c r="A151" t="s">
        <v>17</v>
      </c>
      <c r="B151" s="7" t="s">
        <v>170</v>
      </c>
      <c r="C151">
        <v>539</v>
      </c>
      <c r="D151" s="8">
        <v>1670.95</v>
      </c>
      <c r="E151">
        <v>382</v>
      </c>
    </row>
    <row r="152" spans="1:5" x14ac:dyDescent="0.35">
      <c r="A152" t="s">
        <v>17</v>
      </c>
      <c r="B152" s="7" t="s">
        <v>171</v>
      </c>
      <c r="C152">
        <v>512</v>
      </c>
      <c r="D152" s="8">
        <v>1671.11</v>
      </c>
      <c r="E152">
        <v>367</v>
      </c>
    </row>
    <row r="153" spans="1:5" x14ac:dyDescent="0.35">
      <c r="A153" t="s">
        <v>17</v>
      </c>
      <c r="B153" s="7" t="s">
        <v>172</v>
      </c>
      <c r="C153">
        <v>583</v>
      </c>
      <c r="D153" s="8">
        <v>1794.85</v>
      </c>
      <c r="E153">
        <v>408</v>
      </c>
    </row>
    <row r="154" spans="1:5" x14ac:dyDescent="0.35">
      <c r="A154" t="s">
        <v>17</v>
      </c>
      <c r="B154" s="7" t="s">
        <v>173</v>
      </c>
      <c r="C154">
        <v>622</v>
      </c>
      <c r="D154" s="8">
        <v>1915.45</v>
      </c>
      <c r="E154">
        <v>432</v>
      </c>
    </row>
    <row r="155" spans="1:5" x14ac:dyDescent="0.35">
      <c r="A155" t="s">
        <v>17</v>
      </c>
      <c r="B155" s="7" t="s">
        <v>174</v>
      </c>
      <c r="C155">
        <v>616</v>
      </c>
      <c r="D155" s="8">
        <v>1953.5</v>
      </c>
      <c r="E155">
        <v>439</v>
      </c>
    </row>
    <row r="156" spans="1:5" x14ac:dyDescent="0.35">
      <c r="A156" t="s">
        <v>17</v>
      </c>
      <c r="B156" s="7" t="s">
        <v>175</v>
      </c>
      <c r="C156">
        <v>572</v>
      </c>
      <c r="D156" s="8">
        <v>1760.9</v>
      </c>
      <c r="E156">
        <v>400</v>
      </c>
    </row>
    <row r="157" spans="1:5" x14ac:dyDescent="0.35">
      <c r="A157" t="s">
        <v>17</v>
      </c>
      <c r="B157" s="7" t="s">
        <v>176</v>
      </c>
      <c r="C157">
        <v>595</v>
      </c>
      <c r="D157" s="8">
        <v>1842.45</v>
      </c>
      <c r="E157">
        <v>416</v>
      </c>
    </row>
    <row r="158" spans="1:5" x14ac:dyDescent="0.35">
      <c r="A158" t="s">
        <v>17</v>
      </c>
      <c r="B158" s="7" t="s">
        <v>177</v>
      </c>
      <c r="C158">
        <v>446</v>
      </c>
      <c r="D158" s="8">
        <v>1397.1</v>
      </c>
      <c r="E158">
        <v>313</v>
      </c>
    </row>
    <row r="159" spans="1:5" x14ac:dyDescent="0.35">
      <c r="A159" t="s">
        <v>17</v>
      </c>
      <c r="B159" s="7" t="s">
        <v>178</v>
      </c>
      <c r="C159">
        <v>494</v>
      </c>
      <c r="D159" s="8">
        <v>1555.55</v>
      </c>
      <c r="E159">
        <v>355</v>
      </c>
    </row>
    <row r="160" spans="1:5" x14ac:dyDescent="0.35">
      <c r="A160" t="s">
        <v>17</v>
      </c>
      <c r="B160" s="7" t="s">
        <v>179</v>
      </c>
      <c r="C160">
        <v>574</v>
      </c>
      <c r="D160" s="8">
        <v>2168.6799999999998</v>
      </c>
      <c r="E160">
        <v>414</v>
      </c>
    </row>
    <row r="161" spans="1:5" x14ac:dyDescent="0.35">
      <c r="A161" t="s">
        <v>17</v>
      </c>
      <c r="B161" s="7" t="s">
        <v>180</v>
      </c>
      <c r="C161">
        <v>433</v>
      </c>
      <c r="D161" s="8">
        <v>1518.48</v>
      </c>
      <c r="E161">
        <v>341</v>
      </c>
    </row>
    <row r="162" spans="1:5" x14ac:dyDescent="0.35">
      <c r="A162" t="s">
        <v>17</v>
      </c>
      <c r="B162" s="7" t="s">
        <v>181</v>
      </c>
      <c r="C162">
        <v>538</v>
      </c>
      <c r="D162" s="8">
        <v>1749.45</v>
      </c>
      <c r="E162">
        <v>375</v>
      </c>
    </row>
    <row r="163" spans="1:5" x14ac:dyDescent="0.35">
      <c r="A163" t="s">
        <v>17</v>
      </c>
      <c r="B163" s="7" t="s">
        <v>182</v>
      </c>
      <c r="C163">
        <v>524</v>
      </c>
      <c r="D163" s="8">
        <v>1703.65</v>
      </c>
      <c r="E163">
        <v>368</v>
      </c>
    </row>
    <row r="164" spans="1:5" x14ac:dyDescent="0.35">
      <c r="A164" t="s">
        <v>17</v>
      </c>
      <c r="B164" s="7" t="s">
        <v>183</v>
      </c>
      <c r="C164">
        <v>394</v>
      </c>
      <c r="D164" s="8">
        <v>1244.5999999999999</v>
      </c>
      <c r="E164">
        <v>273</v>
      </c>
    </row>
    <row r="165" spans="1:5" x14ac:dyDescent="0.35">
      <c r="A165" t="s">
        <v>17</v>
      </c>
      <c r="B165" s="7" t="s">
        <v>184</v>
      </c>
      <c r="C165">
        <v>480</v>
      </c>
      <c r="D165" s="8">
        <v>1439.45</v>
      </c>
      <c r="E165">
        <v>341</v>
      </c>
    </row>
    <row r="166" spans="1:5" x14ac:dyDescent="0.35">
      <c r="A166" t="s">
        <v>17</v>
      </c>
      <c r="B166" s="7" t="s">
        <v>185</v>
      </c>
      <c r="C166">
        <v>425</v>
      </c>
      <c r="D166" s="8">
        <v>1588.55</v>
      </c>
      <c r="E166">
        <v>303</v>
      </c>
    </row>
    <row r="167" spans="1:5" x14ac:dyDescent="0.35">
      <c r="A167" t="s">
        <v>17</v>
      </c>
      <c r="B167" s="7" t="s">
        <v>186</v>
      </c>
      <c r="C167">
        <v>661</v>
      </c>
      <c r="D167" s="8">
        <v>2373.21</v>
      </c>
      <c r="E167">
        <v>468</v>
      </c>
    </row>
    <row r="168" spans="1:5" x14ac:dyDescent="0.35">
      <c r="A168" t="s">
        <v>17</v>
      </c>
      <c r="B168" s="7" t="s">
        <v>187</v>
      </c>
      <c r="C168">
        <v>679</v>
      </c>
      <c r="D168" s="8">
        <v>2229.8000000000002</v>
      </c>
      <c r="E168">
        <v>483</v>
      </c>
    </row>
    <row r="169" spans="1:5" x14ac:dyDescent="0.35">
      <c r="A169" t="s">
        <v>17</v>
      </c>
      <c r="B169" s="7" t="s">
        <v>188</v>
      </c>
      <c r="C169">
        <v>618</v>
      </c>
      <c r="D169" s="8">
        <v>2072.65</v>
      </c>
      <c r="E169">
        <v>435</v>
      </c>
    </row>
    <row r="170" spans="1:5" x14ac:dyDescent="0.35">
      <c r="A170" t="s">
        <v>17</v>
      </c>
      <c r="B170" s="7" t="s">
        <v>189</v>
      </c>
      <c r="C170">
        <v>605</v>
      </c>
      <c r="D170" s="8">
        <v>2044.88</v>
      </c>
      <c r="E170">
        <v>437</v>
      </c>
    </row>
    <row r="171" spans="1:5" x14ac:dyDescent="0.35">
      <c r="A171" t="s">
        <v>17</v>
      </c>
      <c r="B171" s="7" t="s">
        <v>190</v>
      </c>
      <c r="C171">
        <v>688</v>
      </c>
      <c r="D171" s="8">
        <v>2546.4299999999998</v>
      </c>
      <c r="E171">
        <v>489</v>
      </c>
    </row>
    <row r="172" spans="1:5" x14ac:dyDescent="0.35">
      <c r="A172" t="s">
        <v>17</v>
      </c>
      <c r="B172" s="7" t="s">
        <v>191</v>
      </c>
      <c r="C172">
        <v>440</v>
      </c>
      <c r="D172" s="8">
        <v>1679.38</v>
      </c>
      <c r="E172">
        <v>434</v>
      </c>
    </row>
    <row r="173" spans="1:5" x14ac:dyDescent="0.35">
      <c r="A173" t="s">
        <v>17</v>
      </c>
      <c r="B173" s="7" t="s">
        <v>192</v>
      </c>
      <c r="C173">
        <v>438</v>
      </c>
      <c r="D173" s="8">
        <v>1614.25</v>
      </c>
      <c r="E173">
        <v>317</v>
      </c>
    </row>
    <row r="174" spans="1:5" x14ac:dyDescent="0.35">
      <c r="A174" t="s">
        <v>17</v>
      </c>
      <c r="B174" s="7" t="s">
        <v>193</v>
      </c>
      <c r="C174">
        <v>613</v>
      </c>
      <c r="D174" s="8">
        <v>1912.05</v>
      </c>
      <c r="E174">
        <v>407</v>
      </c>
    </row>
    <row r="175" spans="1:5" x14ac:dyDescent="0.35">
      <c r="A175" t="s">
        <v>17</v>
      </c>
      <c r="B175" s="7" t="s">
        <v>194</v>
      </c>
      <c r="C175">
        <v>594</v>
      </c>
      <c r="D175" s="8">
        <v>1864.4</v>
      </c>
      <c r="E175">
        <v>409</v>
      </c>
    </row>
    <row r="176" spans="1:5" x14ac:dyDescent="0.35">
      <c r="A176" t="s">
        <v>17</v>
      </c>
      <c r="B176" s="7" t="s">
        <v>195</v>
      </c>
      <c r="C176">
        <v>678</v>
      </c>
      <c r="D176" s="8">
        <v>2117.5500000000002</v>
      </c>
      <c r="E176">
        <v>472</v>
      </c>
    </row>
    <row r="177" spans="1:5" x14ac:dyDescent="0.35">
      <c r="A177" t="s">
        <v>17</v>
      </c>
      <c r="B177" s="7" t="s">
        <v>196</v>
      </c>
      <c r="C177">
        <v>568</v>
      </c>
      <c r="D177" s="8">
        <v>1740.7</v>
      </c>
      <c r="E177">
        <v>396</v>
      </c>
    </row>
    <row r="178" spans="1:5" x14ac:dyDescent="0.35">
      <c r="A178" t="s">
        <v>17</v>
      </c>
      <c r="B178" s="7" t="s">
        <v>197</v>
      </c>
      <c r="C178">
        <v>635</v>
      </c>
      <c r="D178" s="8">
        <v>1975.1</v>
      </c>
      <c r="E178">
        <v>432</v>
      </c>
    </row>
    <row r="179" spans="1:5" x14ac:dyDescent="0.35">
      <c r="A179" t="s">
        <v>17</v>
      </c>
      <c r="B179" s="7" t="s">
        <v>198</v>
      </c>
      <c r="C179">
        <v>598</v>
      </c>
      <c r="D179" s="8">
        <v>1861.55</v>
      </c>
      <c r="E179">
        <v>421</v>
      </c>
    </row>
    <row r="180" spans="1:5" x14ac:dyDescent="0.35">
      <c r="A180" t="s">
        <v>17</v>
      </c>
      <c r="B180" s="7" t="s">
        <v>199</v>
      </c>
      <c r="C180">
        <v>580</v>
      </c>
      <c r="D180" s="8">
        <v>1758.1</v>
      </c>
      <c r="E180">
        <v>393</v>
      </c>
    </row>
    <row r="181" spans="1:5" x14ac:dyDescent="0.35">
      <c r="A181" t="s">
        <v>17</v>
      </c>
      <c r="B181" s="7" t="s">
        <v>200</v>
      </c>
      <c r="C181">
        <v>585</v>
      </c>
      <c r="D181" s="8">
        <v>1852.75</v>
      </c>
      <c r="E181">
        <v>410</v>
      </c>
    </row>
    <row r="182" spans="1:5" x14ac:dyDescent="0.35">
      <c r="A182" t="s">
        <v>17</v>
      </c>
      <c r="B182" s="7" t="s">
        <v>201</v>
      </c>
      <c r="C182">
        <v>577</v>
      </c>
      <c r="D182" s="8">
        <v>1807.65</v>
      </c>
      <c r="E182">
        <v>404</v>
      </c>
    </row>
    <row r="183" spans="1:5" x14ac:dyDescent="0.35">
      <c r="A183" t="s">
        <v>19</v>
      </c>
      <c r="B183" s="7" t="s">
        <v>21</v>
      </c>
      <c r="C183">
        <v>270</v>
      </c>
      <c r="D183" s="8">
        <v>851.45</v>
      </c>
      <c r="E183">
        <v>184</v>
      </c>
    </row>
    <row r="184" spans="1:5" x14ac:dyDescent="0.35">
      <c r="A184" t="s">
        <v>19</v>
      </c>
      <c r="B184" s="7" t="s">
        <v>22</v>
      </c>
      <c r="C184">
        <v>272</v>
      </c>
      <c r="D184" s="8">
        <v>828.8</v>
      </c>
      <c r="E184">
        <v>195</v>
      </c>
    </row>
    <row r="185" spans="1:5" x14ac:dyDescent="0.35">
      <c r="A185" t="s">
        <v>19</v>
      </c>
      <c r="B185" s="7" t="s">
        <v>23</v>
      </c>
      <c r="C185">
        <v>295</v>
      </c>
      <c r="D185" s="8">
        <v>906.25</v>
      </c>
      <c r="E185">
        <v>211</v>
      </c>
    </row>
    <row r="186" spans="1:5" x14ac:dyDescent="0.35">
      <c r="A186" t="s">
        <v>19</v>
      </c>
      <c r="B186" s="7" t="s">
        <v>24</v>
      </c>
      <c r="C186">
        <v>256</v>
      </c>
      <c r="D186" s="8">
        <v>781.65</v>
      </c>
      <c r="E186">
        <v>170</v>
      </c>
    </row>
    <row r="187" spans="1:5" x14ac:dyDescent="0.35">
      <c r="A187" t="s">
        <v>19</v>
      </c>
      <c r="B187" s="7" t="s">
        <v>25</v>
      </c>
      <c r="C187">
        <v>235</v>
      </c>
      <c r="D187" s="8">
        <v>714.9</v>
      </c>
      <c r="E187">
        <v>168</v>
      </c>
    </row>
    <row r="188" spans="1:5" x14ac:dyDescent="0.35">
      <c r="A188" t="s">
        <v>19</v>
      </c>
      <c r="B188" s="7" t="s">
        <v>26</v>
      </c>
      <c r="C188">
        <v>256</v>
      </c>
      <c r="D188" s="8">
        <v>767.2</v>
      </c>
      <c r="E188">
        <v>176</v>
      </c>
    </row>
    <row r="189" spans="1:5" x14ac:dyDescent="0.35">
      <c r="A189" t="s">
        <v>19</v>
      </c>
      <c r="B189" s="7" t="s">
        <v>27</v>
      </c>
      <c r="C189">
        <v>323</v>
      </c>
      <c r="D189" s="8">
        <v>1024.0999999999999</v>
      </c>
      <c r="E189">
        <v>222</v>
      </c>
    </row>
    <row r="190" spans="1:5" x14ac:dyDescent="0.35">
      <c r="A190" t="s">
        <v>19</v>
      </c>
      <c r="B190" s="7" t="s">
        <v>28</v>
      </c>
      <c r="C190">
        <v>277</v>
      </c>
      <c r="D190" s="8">
        <v>872.83</v>
      </c>
      <c r="E190">
        <v>196</v>
      </c>
    </row>
    <row r="191" spans="1:5" x14ac:dyDescent="0.35">
      <c r="A191" t="s">
        <v>19</v>
      </c>
      <c r="B191" s="7" t="s">
        <v>29</v>
      </c>
      <c r="C191">
        <v>272</v>
      </c>
      <c r="D191" s="8">
        <v>894.4</v>
      </c>
      <c r="E191">
        <v>194</v>
      </c>
    </row>
    <row r="192" spans="1:5" x14ac:dyDescent="0.35">
      <c r="A192" t="s">
        <v>19</v>
      </c>
      <c r="B192" s="7" t="s">
        <v>30</v>
      </c>
      <c r="C192">
        <v>273</v>
      </c>
      <c r="D192" s="8">
        <v>808.1</v>
      </c>
      <c r="E192">
        <v>189</v>
      </c>
    </row>
    <row r="193" spans="1:5" x14ac:dyDescent="0.35">
      <c r="A193" t="s">
        <v>19</v>
      </c>
      <c r="B193" s="7" t="s">
        <v>31</v>
      </c>
      <c r="C193">
        <v>295</v>
      </c>
      <c r="D193" s="8">
        <v>974.55</v>
      </c>
      <c r="E193">
        <v>212</v>
      </c>
    </row>
    <row r="194" spans="1:5" x14ac:dyDescent="0.35">
      <c r="A194" t="s">
        <v>19</v>
      </c>
      <c r="B194" s="7" t="s">
        <v>32</v>
      </c>
      <c r="C194">
        <v>251</v>
      </c>
      <c r="D194" s="8">
        <v>751.9</v>
      </c>
      <c r="E194">
        <v>179</v>
      </c>
    </row>
    <row r="195" spans="1:5" x14ac:dyDescent="0.35">
      <c r="A195" t="s">
        <v>19</v>
      </c>
      <c r="B195" s="7" t="s">
        <v>33</v>
      </c>
      <c r="C195">
        <v>409</v>
      </c>
      <c r="D195" s="8">
        <v>1362.6</v>
      </c>
      <c r="E195">
        <v>257</v>
      </c>
    </row>
    <row r="196" spans="1:5" x14ac:dyDescent="0.35">
      <c r="A196" t="s">
        <v>19</v>
      </c>
      <c r="B196" s="7" t="s">
        <v>34</v>
      </c>
      <c r="C196">
        <v>326</v>
      </c>
      <c r="D196" s="8">
        <v>1143.81</v>
      </c>
      <c r="E196">
        <v>241</v>
      </c>
    </row>
    <row r="197" spans="1:5" x14ac:dyDescent="0.35">
      <c r="A197" t="s">
        <v>19</v>
      </c>
      <c r="B197" s="7" t="s">
        <v>35</v>
      </c>
      <c r="C197">
        <v>280</v>
      </c>
      <c r="D197" s="8">
        <v>962.43</v>
      </c>
      <c r="E197">
        <v>202</v>
      </c>
    </row>
    <row r="198" spans="1:5" x14ac:dyDescent="0.35">
      <c r="A198" t="s">
        <v>19</v>
      </c>
      <c r="B198" s="7" t="s">
        <v>36</v>
      </c>
      <c r="C198">
        <v>277</v>
      </c>
      <c r="D198" s="8">
        <v>951.15</v>
      </c>
      <c r="E198">
        <v>206</v>
      </c>
    </row>
    <row r="199" spans="1:5" x14ac:dyDescent="0.35">
      <c r="A199" t="s">
        <v>19</v>
      </c>
      <c r="B199" s="7" t="s">
        <v>37</v>
      </c>
      <c r="C199">
        <v>214</v>
      </c>
      <c r="D199" s="8">
        <v>1421.5</v>
      </c>
      <c r="E199">
        <v>138</v>
      </c>
    </row>
    <row r="200" spans="1:5" x14ac:dyDescent="0.35">
      <c r="A200" t="s">
        <v>19</v>
      </c>
      <c r="B200" s="7" t="s">
        <v>38</v>
      </c>
      <c r="C200">
        <v>263</v>
      </c>
      <c r="D200" s="8">
        <v>846.1</v>
      </c>
      <c r="E200">
        <v>188</v>
      </c>
    </row>
    <row r="201" spans="1:5" x14ac:dyDescent="0.35">
      <c r="A201" t="s">
        <v>19</v>
      </c>
      <c r="B201" s="7" t="s">
        <v>39</v>
      </c>
      <c r="C201">
        <v>293</v>
      </c>
      <c r="D201" s="8">
        <v>1046.25</v>
      </c>
      <c r="E201">
        <v>212</v>
      </c>
    </row>
    <row r="202" spans="1:5" x14ac:dyDescent="0.35">
      <c r="A202" t="s">
        <v>19</v>
      </c>
      <c r="B202" s="7" t="s">
        <v>40</v>
      </c>
      <c r="C202">
        <v>284</v>
      </c>
      <c r="D202" s="8">
        <v>940.75</v>
      </c>
      <c r="E202">
        <v>198</v>
      </c>
    </row>
    <row r="203" spans="1:5" x14ac:dyDescent="0.35">
      <c r="A203" t="s">
        <v>19</v>
      </c>
      <c r="B203" s="7" t="s">
        <v>41</v>
      </c>
      <c r="C203">
        <v>318</v>
      </c>
      <c r="D203" s="8">
        <v>1075.5</v>
      </c>
      <c r="E203">
        <v>233</v>
      </c>
    </row>
    <row r="204" spans="1:5" x14ac:dyDescent="0.35">
      <c r="A204" t="s">
        <v>19</v>
      </c>
      <c r="B204" s="7" t="s">
        <v>42</v>
      </c>
      <c r="C204">
        <v>196</v>
      </c>
      <c r="D204" s="8">
        <v>621.45000000000005</v>
      </c>
      <c r="E204">
        <v>139</v>
      </c>
    </row>
    <row r="205" spans="1:5" x14ac:dyDescent="0.35">
      <c r="A205" t="s">
        <v>19</v>
      </c>
      <c r="B205" s="7" t="s">
        <v>43</v>
      </c>
      <c r="C205">
        <v>304</v>
      </c>
      <c r="D205" s="8">
        <v>1026.0999999999999</v>
      </c>
      <c r="E205">
        <v>217</v>
      </c>
    </row>
    <row r="206" spans="1:5" x14ac:dyDescent="0.35">
      <c r="A206" t="s">
        <v>19</v>
      </c>
      <c r="B206" s="7" t="s">
        <v>44</v>
      </c>
      <c r="C206">
        <v>242</v>
      </c>
      <c r="D206" s="8">
        <v>841.1</v>
      </c>
      <c r="E206">
        <v>173</v>
      </c>
    </row>
    <row r="207" spans="1:5" x14ac:dyDescent="0.35">
      <c r="A207" t="s">
        <v>19</v>
      </c>
      <c r="B207" s="7" t="s">
        <v>45</v>
      </c>
      <c r="C207">
        <v>258</v>
      </c>
      <c r="D207" s="8">
        <v>840.7</v>
      </c>
      <c r="E207">
        <v>180</v>
      </c>
    </row>
    <row r="208" spans="1:5" x14ac:dyDescent="0.35">
      <c r="A208" t="s">
        <v>19</v>
      </c>
      <c r="B208" s="7" t="s">
        <v>46</v>
      </c>
      <c r="C208">
        <v>255</v>
      </c>
      <c r="D208" s="8">
        <v>856.43</v>
      </c>
      <c r="E208">
        <v>185</v>
      </c>
    </row>
    <row r="209" spans="1:5" x14ac:dyDescent="0.35">
      <c r="A209" t="s">
        <v>19</v>
      </c>
      <c r="B209" s="7" t="s">
        <v>47</v>
      </c>
      <c r="C209">
        <v>264</v>
      </c>
      <c r="D209" s="8">
        <v>760.05</v>
      </c>
      <c r="E209">
        <v>181</v>
      </c>
    </row>
    <row r="210" spans="1:5" x14ac:dyDescent="0.35">
      <c r="A210" t="s">
        <v>19</v>
      </c>
      <c r="B210" s="7" t="s">
        <v>48</v>
      </c>
      <c r="C210">
        <v>227</v>
      </c>
      <c r="D210" s="8">
        <v>699.65</v>
      </c>
      <c r="E210">
        <v>162</v>
      </c>
    </row>
    <row r="211" spans="1:5" x14ac:dyDescent="0.35">
      <c r="A211" t="s">
        <v>19</v>
      </c>
      <c r="B211" s="7" t="s">
        <v>49</v>
      </c>
      <c r="C211">
        <v>195</v>
      </c>
      <c r="D211" s="8">
        <v>612.15</v>
      </c>
      <c r="E211">
        <v>135</v>
      </c>
    </row>
    <row r="212" spans="1:5" x14ac:dyDescent="0.35">
      <c r="A212" t="s">
        <v>19</v>
      </c>
      <c r="B212" s="7" t="s">
        <v>50</v>
      </c>
      <c r="C212">
        <v>242</v>
      </c>
      <c r="D212" s="8">
        <v>868.4</v>
      </c>
      <c r="E212">
        <v>166</v>
      </c>
    </row>
    <row r="213" spans="1:5" x14ac:dyDescent="0.35">
      <c r="A213" t="s">
        <v>19</v>
      </c>
      <c r="B213" s="7" t="s">
        <v>51</v>
      </c>
      <c r="C213">
        <v>218</v>
      </c>
      <c r="D213" s="8">
        <v>768.4</v>
      </c>
      <c r="E213">
        <v>159</v>
      </c>
    </row>
    <row r="214" spans="1:5" x14ac:dyDescent="0.35">
      <c r="A214" t="s">
        <v>19</v>
      </c>
      <c r="B214" s="7" t="s">
        <v>52</v>
      </c>
      <c r="C214">
        <v>269</v>
      </c>
      <c r="D214" s="8">
        <v>849.4</v>
      </c>
      <c r="E214">
        <v>179</v>
      </c>
    </row>
    <row r="215" spans="1:5" x14ac:dyDescent="0.35">
      <c r="A215" t="s">
        <v>19</v>
      </c>
      <c r="B215" s="7" t="s">
        <v>53</v>
      </c>
      <c r="C215">
        <v>287</v>
      </c>
      <c r="D215" s="8">
        <v>883.95</v>
      </c>
      <c r="E215">
        <v>200</v>
      </c>
    </row>
    <row r="216" spans="1:5" x14ac:dyDescent="0.35">
      <c r="A216" t="s">
        <v>19</v>
      </c>
      <c r="B216" s="7" t="s">
        <v>54</v>
      </c>
      <c r="C216">
        <v>291</v>
      </c>
      <c r="D216" s="8">
        <v>896</v>
      </c>
      <c r="E216">
        <v>202</v>
      </c>
    </row>
    <row r="217" spans="1:5" x14ac:dyDescent="0.35">
      <c r="A217" t="s">
        <v>19</v>
      </c>
      <c r="B217" s="7" t="s">
        <v>55</v>
      </c>
      <c r="C217">
        <v>278</v>
      </c>
      <c r="D217" s="8">
        <v>844.65</v>
      </c>
      <c r="E217">
        <v>200</v>
      </c>
    </row>
    <row r="218" spans="1:5" x14ac:dyDescent="0.35">
      <c r="A218" t="s">
        <v>19</v>
      </c>
      <c r="B218" s="7" t="s">
        <v>56</v>
      </c>
      <c r="C218">
        <v>233</v>
      </c>
      <c r="D218" s="8">
        <v>709.35</v>
      </c>
      <c r="E218">
        <v>161</v>
      </c>
    </row>
    <row r="219" spans="1:5" x14ac:dyDescent="0.35">
      <c r="A219" t="s">
        <v>19</v>
      </c>
      <c r="B219" s="7" t="s">
        <v>57</v>
      </c>
      <c r="C219">
        <v>264</v>
      </c>
      <c r="D219" s="8">
        <v>796.15</v>
      </c>
      <c r="E219">
        <v>182</v>
      </c>
    </row>
    <row r="220" spans="1:5" x14ac:dyDescent="0.35">
      <c r="A220" t="s">
        <v>19</v>
      </c>
      <c r="B220" s="7" t="s">
        <v>58</v>
      </c>
      <c r="C220">
        <v>292</v>
      </c>
      <c r="D220" s="8">
        <v>893.25</v>
      </c>
      <c r="E220">
        <v>203</v>
      </c>
    </row>
    <row r="221" spans="1:5" x14ac:dyDescent="0.35">
      <c r="A221" t="s">
        <v>19</v>
      </c>
      <c r="B221" s="7" t="s">
        <v>59</v>
      </c>
      <c r="C221">
        <v>298</v>
      </c>
      <c r="D221" s="8">
        <v>949.93</v>
      </c>
      <c r="E221">
        <v>209</v>
      </c>
    </row>
    <row r="222" spans="1:5" x14ac:dyDescent="0.35">
      <c r="A222" t="s">
        <v>19</v>
      </c>
      <c r="B222" s="7" t="s">
        <v>60</v>
      </c>
      <c r="C222">
        <v>292</v>
      </c>
      <c r="D222" s="8">
        <v>859.25</v>
      </c>
      <c r="E222">
        <v>209</v>
      </c>
    </row>
    <row r="223" spans="1:5" x14ac:dyDescent="0.35">
      <c r="A223" t="s">
        <v>19</v>
      </c>
      <c r="B223" s="7" t="s">
        <v>61</v>
      </c>
      <c r="C223">
        <v>326</v>
      </c>
      <c r="D223" s="8">
        <v>1072.3</v>
      </c>
      <c r="E223">
        <v>231</v>
      </c>
    </row>
    <row r="224" spans="1:5" x14ac:dyDescent="0.35">
      <c r="A224" t="s">
        <v>19</v>
      </c>
      <c r="B224" s="7" t="s">
        <v>62</v>
      </c>
      <c r="C224">
        <v>307</v>
      </c>
      <c r="D224" s="8">
        <v>1031.21</v>
      </c>
      <c r="E224">
        <v>221</v>
      </c>
    </row>
    <row r="225" spans="1:5" x14ac:dyDescent="0.35">
      <c r="A225" t="s">
        <v>19</v>
      </c>
      <c r="B225" s="7" t="s">
        <v>63</v>
      </c>
      <c r="C225">
        <v>326</v>
      </c>
      <c r="D225" s="8">
        <v>1125.8</v>
      </c>
      <c r="E225">
        <v>231</v>
      </c>
    </row>
    <row r="226" spans="1:5" x14ac:dyDescent="0.35">
      <c r="A226" t="s">
        <v>19</v>
      </c>
      <c r="B226" s="7" t="s">
        <v>64</v>
      </c>
      <c r="C226">
        <v>363</v>
      </c>
      <c r="D226" s="8">
        <v>1185.1500000000001</v>
      </c>
      <c r="E226">
        <v>232</v>
      </c>
    </row>
    <row r="227" spans="1:5" x14ac:dyDescent="0.35">
      <c r="A227" t="s">
        <v>19</v>
      </c>
      <c r="B227" s="7" t="s">
        <v>65</v>
      </c>
      <c r="C227">
        <v>349</v>
      </c>
      <c r="D227" s="8">
        <v>1163.6500000000001</v>
      </c>
      <c r="E227">
        <v>257</v>
      </c>
    </row>
    <row r="228" spans="1:5" x14ac:dyDescent="0.35">
      <c r="A228" t="s">
        <v>19</v>
      </c>
      <c r="B228" s="7" t="s">
        <v>66</v>
      </c>
      <c r="C228">
        <v>254</v>
      </c>
      <c r="D228" s="8">
        <v>850.25</v>
      </c>
      <c r="E228">
        <v>181</v>
      </c>
    </row>
    <row r="229" spans="1:5" x14ac:dyDescent="0.35">
      <c r="A229" t="s">
        <v>19</v>
      </c>
      <c r="B229" s="7" t="s">
        <v>67</v>
      </c>
      <c r="C229">
        <v>265</v>
      </c>
      <c r="D229" s="8">
        <v>908.23</v>
      </c>
      <c r="E229">
        <v>195</v>
      </c>
    </row>
    <row r="230" spans="1:5" x14ac:dyDescent="0.35">
      <c r="A230" t="s">
        <v>19</v>
      </c>
      <c r="B230" s="7" t="s">
        <v>68</v>
      </c>
      <c r="C230">
        <v>209</v>
      </c>
      <c r="D230" s="8">
        <v>637.6</v>
      </c>
      <c r="E230">
        <v>151</v>
      </c>
    </row>
    <row r="231" spans="1:5" x14ac:dyDescent="0.35">
      <c r="A231" t="s">
        <v>19</v>
      </c>
      <c r="B231" s="7" t="s">
        <v>69</v>
      </c>
      <c r="C231">
        <v>297</v>
      </c>
      <c r="D231" s="8">
        <v>1049.5</v>
      </c>
      <c r="E231">
        <v>212</v>
      </c>
    </row>
    <row r="232" spans="1:5" x14ac:dyDescent="0.35">
      <c r="A232" t="s">
        <v>19</v>
      </c>
      <c r="B232" s="7" t="s">
        <v>70</v>
      </c>
      <c r="C232">
        <v>331</v>
      </c>
      <c r="D232" s="8">
        <v>1164.2</v>
      </c>
      <c r="E232">
        <v>242</v>
      </c>
    </row>
    <row r="233" spans="1:5" x14ac:dyDescent="0.35">
      <c r="A233" t="s">
        <v>19</v>
      </c>
      <c r="B233" s="7" t="s">
        <v>71</v>
      </c>
      <c r="C233">
        <v>316</v>
      </c>
      <c r="D233" s="8">
        <v>1066.6500000000001</v>
      </c>
      <c r="E233">
        <v>219</v>
      </c>
    </row>
    <row r="234" spans="1:5" x14ac:dyDescent="0.35">
      <c r="A234" t="s">
        <v>19</v>
      </c>
      <c r="B234" s="7" t="s">
        <v>72</v>
      </c>
      <c r="C234">
        <v>307</v>
      </c>
      <c r="D234" s="8">
        <v>958.65</v>
      </c>
      <c r="E234">
        <v>222</v>
      </c>
    </row>
    <row r="235" spans="1:5" x14ac:dyDescent="0.35">
      <c r="A235" t="s">
        <v>19</v>
      </c>
      <c r="B235" s="7" t="s">
        <v>73</v>
      </c>
      <c r="C235">
        <v>254</v>
      </c>
      <c r="D235" s="8">
        <v>830.7</v>
      </c>
      <c r="E235">
        <v>180</v>
      </c>
    </row>
    <row r="236" spans="1:5" x14ac:dyDescent="0.35">
      <c r="A236" t="s">
        <v>19</v>
      </c>
      <c r="B236" s="7" t="s">
        <v>74</v>
      </c>
      <c r="C236">
        <v>240</v>
      </c>
      <c r="D236" s="8">
        <v>888.98</v>
      </c>
      <c r="E236">
        <v>177</v>
      </c>
    </row>
    <row r="237" spans="1:5" x14ac:dyDescent="0.35">
      <c r="A237" t="s">
        <v>19</v>
      </c>
      <c r="B237" s="7" t="s">
        <v>75</v>
      </c>
      <c r="C237">
        <v>256</v>
      </c>
      <c r="D237" s="8">
        <v>815.1</v>
      </c>
      <c r="E237">
        <v>176</v>
      </c>
    </row>
    <row r="238" spans="1:5" x14ac:dyDescent="0.35">
      <c r="A238" t="s">
        <v>19</v>
      </c>
      <c r="B238" s="7" t="s">
        <v>76</v>
      </c>
      <c r="C238">
        <v>255</v>
      </c>
      <c r="D238" s="8">
        <v>853.35</v>
      </c>
      <c r="E238">
        <v>182</v>
      </c>
    </row>
    <row r="239" spans="1:5" x14ac:dyDescent="0.35">
      <c r="A239" t="s">
        <v>19</v>
      </c>
      <c r="B239" s="7" t="s">
        <v>77</v>
      </c>
      <c r="C239">
        <v>269</v>
      </c>
      <c r="D239" s="8">
        <v>928.45</v>
      </c>
      <c r="E239">
        <v>198</v>
      </c>
    </row>
    <row r="240" spans="1:5" x14ac:dyDescent="0.35">
      <c r="A240" t="s">
        <v>19</v>
      </c>
      <c r="B240" s="7" t="s">
        <v>78</v>
      </c>
      <c r="C240">
        <v>272</v>
      </c>
      <c r="D240" s="8">
        <v>758.9</v>
      </c>
      <c r="E240">
        <v>187</v>
      </c>
    </row>
    <row r="241" spans="1:5" x14ac:dyDescent="0.35">
      <c r="A241" t="s">
        <v>19</v>
      </c>
      <c r="B241" s="7" t="s">
        <v>79</v>
      </c>
      <c r="C241">
        <v>237</v>
      </c>
      <c r="D241" s="8">
        <v>749.2</v>
      </c>
      <c r="E241">
        <v>167</v>
      </c>
    </row>
    <row r="242" spans="1:5" x14ac:dyDescent="0.35">
      <c r="A242" t="s">
        <v>19</v>
      </c>
      <c r="B242" s="7" t="s">
        <v>80</v>
      </c>
      <c r="C242">
        <v>330</v>
      </c>
      <c r="D242" s="8">
        <v>1040.45</v>
      </c>
      <c r="E242">
        <v>214</v>
      </c>
    </row>
    <row r="243" spans="1:5" x14ac:dyDescent="0.35">
      <c r="A243" t="s">
        <v>19</v>
      </c>
      <c r="B243" s="7" t="s">
        <v>81</v>
      </c>
      <c r="C243">
        <v>331</v>
      </c>
      <c r="D243" s="8">
        <v>1020.75</v>
      </c>
      <c r="E243">
        <v>228</v>
      </c>
    </row>
    <row r="244" spans="1:5" x14ac:dyDescent="0.35">
      <c r="A244" t="s">
        <v>19</v>
      </c>
      <c r="B244" s="7" t="s">
        <v>82</v>
      </c>
      <c r="C244">
        <v>328</v>
      </c>
      <c r="D244" s="8">
        <v>1037.55</v>
      </c>
      <c r="E244">
        <v>229</v>
      </c>
    </row>
    <row r="245" spans="1:5" x14ac:dyDescent="0.35">
      <c r="A245" t="s">
        <v>19</v>
      </c>
      <c r="B245" s="7" t="s">
        <v>83</v>
      </c>
      <c r="C245">
        <v>281</v>
      </c>
      <c r="D245" s="8">
        <v>868.4</v>
      </c>
      <c r="E245">
        <v>195</v>
      </c>
    </row>
    <row r="246" spans="1:5" x14ac:dyDescent="0.35">
      <c r="A246" t="s">
        <v>19</v>
      </c>
      <c r="B246" s="7" t="s">
        <v>84</v>
      </c>
      <c r="C246">
        <v>299</v>
      </c>
      <c r="D246" s="8">
        <v>904</v>
      </c>
      <c r="E246">
        <v>207</v>
      </c>
    </row>
    <row r="247" spans="1:5" x14ac:dyDescent="0.35">
      <c r="A247" t="s">
        <v>19</v>
      </c>
      <c r="B247" s="7" t="s">
        <v>85</v>
      </c>
      <c r="C247">
        <v>306</v>
      </c>
      <c r="D247" s="8">
        <v>934.95</v>
      </c>
      <c r="E247">
        <v>205</v>
      </c>
    </row>
    <row r="248" spans="1:5" x14ac:dyDescent="0.35">
      <c r="A248" t="s">
        <v>19</v>
      </c>
      <c r="B248" s="7" t="s">
        <v>86</v>
      </c>
      <c r="C248">
        <v>374</v>
      </c>
      <c r="D248" s="8">
        <v>1136.05</v>
      </c>
      <c r="E248">
        <v>263</v>
      </c>
    </row>
    <row r="249" spans="1:5" x14ac:dyDescent="0.35">
      <c r="A249" t="s">
        <v>19</v>
      </c>
      <c r="B249" s="7" t="s">
        <v>87</v>
      </c>
      <c r="C249">
        <v>357</v>
      </c>
      <c r="D249" s="8">
        <v>1184.08</v>
      </c>
      <c r="E249">
        <v>262</v>
      </c>
    </row>
    <row r="250" spans="1:5" x14ac:dyDescent="0.35">
      <c r="A250" t="s">
        <v>19</v>
      </c>
      <c r="B250" s="7" t="s">
        <v>88</v>
      </c>
      <c r="C250">
        <v>399</v>
      </c>
      <c r="D250" s="8">
        <v>1268.7</v>
      </c>
      <c r="E250">
        <v>286</v>
      </c>
    </row>
    <row r="251" spans="1:5" x14ac:dyDescent="0.35">
      <c r="A251" t="s">
        <v>19</v>
      </c>
      <c r="B251" s="7" t="s">
        <v>89</v>
      </c>
      <c r="C251">
        <v>384</v>
      </c>
      <c r="D251" s="8">
        <v>1252.18</v>
      </c>
      <c r="E251">
        <v>284</v>
      </c>
    </row>
    <row r="252" spans="1:5" x14ac:dyDescent="0.35">
      <c r="A252" t="s">
        <v>19</v>
      </c>
      <c r="B252" s="7" t="s">
        <v>90</v>
      </c>
      <c r="C252">
        <v>363</v>
      </c>
      <c r="D252" s="8">
        <v>1140.8</v>
      </c>
      <c r="E252">
        <v>252</v>
      </c>
    </row>
    <row r="253" spans="1:5" x14ac:dyDescent="0.35">
      <c r="A253" t="s">
        <v>19</v>
      </c>
      <c r="B253" s="7" t="s">
        <v>91</v>
      </c>
      <c r="C253">
        <v>370</v>
      </c>
      <c r="D253" s="8">
        <v>1278.05</v>
      </c>
      <c r="E253">
        <v>266</v>
      </c>
    </row>
    <row r="254" spans="1:5" x14ac:dyDescent="0.35">
      <c r="A254" t="s">
        <v>19</v>
      </c>
      <c r="B254" s="7" t="s">
        <v>92</v>
      </c>
      <c r="C254">
        <v>423</v>
      </c>
      <c r="D254" s="8">
        <v>1440.9</v>
      </c>
      <c r="E254">
        <v>269</v>
      </c>
    </row>
    <row r="255" spans="1:5" x14ac:dyDescent="0.35">
      <c r="A255" t="s">
        <v>19</v>
      </c>
      <c r="B255" s="7" t="s">
        <v>93</v>
      </c>
      <c r="C255">
        <v>380</v>
      </c>
      <c r="D255" s="8">
        <v>1379.83</v>
      </c>
      <c r="E255">
        <v>289</v>
      </c>
    </row>
    <row r="256" spans="1:5" x14ac:dyDescent="0.35">
      <c r="A256" t="s">
        <v>19</v>
      </c>
      <c r="B256" s="7" t="s">
        <v>94</v>
      </c>
      <c r="C256">
        <v>317</v>
      </c>
      <c r="D256" s="8">
        <v>1005.28</v>
      </c>
      <c r="E256">
        <v>229</v>
      </c>
    </row>
    <row r="257" spans="1:5" x14ac:dyDescent="0.35">
      <c r="A257" t="s">
        <v>19</v>
      </c>
      <c r="B257" s="7" t="s">
        <v>95</v>
      </c>
      <c r="C257">
        <v>350</v>
      </c>
      <c r="D257" s="8">
        <v>1142.43</v>
      </c>
      <c r="E257">
        <v>260</v>
      </c>
    </row>
    <row r="258" spans="1:5" x14ac:dyDescent="0.35">
      <c r="A258" t="s">
        <v>19</v>
      </c>
      <c r="B258" s="7" t="s">
        <v>96</v>
      </c>
      <c r="C258">
        <v>236</v>
      </c>
      <c r="D258" s="8">
        <v>788.45</v>
      </c>
      <c r="E258">
        <v>176</v>
      </c>
    </row>
    <row r="259" spans="1:5" x14ac:dyDescent="0.35">
      <c r="A259" t="s">
        <v>19</v>
      </c>
      <c r="B259" s="7" t="s">
        <v>97</v>
      </c>
      <c r="C259">
        <v>337</v>
      </c>
      <c r="D259" s="8">
        <v>1163.25</v>
      </c>
      <c r="E259">
        <v>240</v>
      </c>
    </row>
    <row r="260" spans="1:5" x14ac:dyDescent="0.35">
      <c r="A260" t="s">
        <v>19</v>
      </c>
      <c r="B260" s="7" t="s">
        <v>98</v>
      </c>
      <c r="C260">
        <v>340</v>
      </c>
      <c r="D260" s="8">
        <v>1085.18</v>
      </c>
      <c r="E260">
        <v>256</v>
      </c>
    </row>
    <row r="261" spans="1:5" x14ac:dyDescent="0.35">
      <c r="A261" t="s">
        <v>19</v>
      </c>
      <c r="B261" s="7" t="s">
        <v>99</v>
      </c>
      <c r="C261">
        <v>351</v>
      </c>
      <c r="D261" s="8">
        <v>1114.0999999999999</v>
      </c>
      <c r="E261">
        <v>246</v>
      </c>
    </row>
    <row r="262" spans="1:5" x14ac:dyDescent="0.35">
      <c r="A262" t="s">
        <v>19</v>
      </c>
      <c r="B262" s="7" t="s">
        <v>100</v>
      </c>
      <c r="C262">
        <v>394</v>
      </c>
      <c r="D262" s="8">
        <v>1316.7</v>
      </c>
      <c r="E262">
        <v>293</v>
      </c>
    </row>
    <row r="263" spans="1:5" x14ac:dyDescent="0.35">
      <c r="A263" t="s">
        <v>19</v>
      </c>
      <c r="B263" s="7" t="s">
        <v>101</v>
      </c>
      <c r="C263">
        <v>277</v>
      </c>
      <c r="D263" s="8">
        <v>923.9</v>
      </c>
      <c r="E263">
        <v>207</v>
      </c>
    </row>
    <row r="264" spans="1:5" x14ac:dyDescent="0.35">
      <c r="A264" t="s">
        <v>19</v>
      </c>
      <c r="B264" s="7" t="s">
        <v>102</v>
      </c>
      <c r="C264">
        <v>325</v>
      </c>
      <c r="D264" s="8">
        <v>1142.33</v>
      </c>
      <c r="E264">
        <v>237</v>
      </c>
    </row>
    <row r="265" spans="1:5" x14ac:dyDescent="0.35">
      <c r="A265" t="s">
        <v>19</v>
      </c>
      <c r="B265" s="7" t="s">
        <v>103</v>
      </c>
      <c r="C265">
        <v>300</v>
      </c>
      <c r="D265" s="8">
        <v>1015.9</v>
      </c>
      <c r="E265">
        <v>213</v>
      </c>
    </row>
    <row r="266" spans="1:5" x14ac:dyDescent="0.35">
      <c r="A266" t="s">
        <v>19</v>
      </c>
      <c r="B266" s="7" t="s">
        <v>104</v>
      </c>
      <c r="C266">
        <v>297</v>
      </c>
      <c r="D266" s="8">
        <v>1006.3</v>
      </c>
      <c r="E266">
        <v>213</v>
      </c>
    </row>
    <row r="267" spans="1:5" x14ac:dyDescent="0.35">
      <c r="A267" t="s">
        <v>19</v>
      </c>
      <c r="B267" s="7" t="s">
        <v>105</v>
      </c>
      <c r="C267">
        <v>287</v>
      </c>
      <c r="D267" s="8">
        <v>971.63</v>
      </c>
      <c r="E267">
        <v>208</v>
      </c>
    </row>
    <row r="268" spans="1:5" x14ac:dyDescent="0.35">
      <c r="A268" t="s">
        <v>19</v>
      </c>
      <c r="B268" s="7" t="s">
        <v>106</v>
      </c>
      <c r="C268">
        <v>380</v>
      </c>
      <c r="D268" s="8">
        <v>1060.5999999999999</v>
      </c>
      <c r="E268">
        <v>263</v>
      </c>
    </row>
    <row r="269" spans="1:5" x14ac:dyDescent="0.35">
      <c r="A269" t="s">
        <v>19</v>
      </c>
      <c r="B269" s="7" t="s">
        <v>107</v>
      </c>
      <c r="C269">
        <v>280</v>
      </c>
      <c r="D269" s="8">
        <v>892.55</v>
      </c>
      <c r="E269">
        <v>206</v>
      </c>
    </row>
    <row r="270" spans="1:5" x14ac:dyDescent="0.35">
      <c r="A270" t="s">
        <v>19</v>
      </c>
      <c r="B270" s="7" t="s">
        <v>108</v>
      </c>
      <c r="C270">
        <v>221</v>
      </c>
      <c r="D270" s="8">
        <v>672.9</v>
      </c>
      <c r="E270">
        <v>157</v>
      </c>
    </row>
    <row r="271" spans="1:5" x14ac:dyDescent="0.35">
      <c r="A271" t="s">
        <v>19</v>
      </c>
      <c r="B271" s="7" t="s">
        <v>109</v>
      </c>
      <c r="C271">
        <v>291</v>
      </c>
      <c r="D271" s="8">
        <v>998.98</v>
      </c>
      <c r="E271">
        <v>211</v>
      </c>
    </row>
    <row r="272" spans="1:5" x14ac:dyDescent="0.35">
      <c r="A272" t="s">
        <v>19</v>
      </c>
      <c r="B272" s="7" t="s">
        <v>110</v>
      </c>
      <c r="C272">
        <v>290</v>
      </c>
      <c r="D272" s="8">
        <v>923.4</v>
      </c>
      <c r="E272">
        <v>203</v>
      </c>
    </row>
    <row r="273" spans="1:5" x14ac:dyDescent="0.35">
      <c r="A273" t="s">
        <v>19</v>
      </c>
      <c r="B273" s="7" t="s">
        <v>111</v>
      </c>
      <c r="C273">
        <v>390</v>
      </c>
      <c r="D273" s="8">
        <v>1215.3499999999999</v>
      </c>
      <c r="E273">
        <v>261</v>
      </c>
    </row>
    <row r="274" spans="1:5" x14ac:dyDescent="0.35">
      <c r="A274" t="s">
        <v>19</v>
      </c>
      <c r="B274" s="7" t="s">
        <v>112</v>
      </c>
      <c r="C274">
        <v>399</v>
      </c>
      <c r="D274" s="8">
        <v>1222.3</v>
      </c>
      <c r="E274">
        <v>275</v>
      </c>
    </row>
    <row r="275" spans="1:5" x14ac:dyDescent="0.35">
      <c r="A275" t="s">
        <v>19</v>
      </c>
      <c r="B275" s="7" t="s">
        <v>113</v>
      </c>
      <c r="C275">
        <v>367</v>
      </c>
      <c r="D275" s="8">
        <v>1144</v>
      </c>
      <c r="E275">
        <v>257</v>
      </c>
    </row>
    <row r="276" spans="1:5" x14ac:dyDescent="0.35">
      <c r="A276" t="s">
        <v>19</v>
      </c>
      <c r="B276" s="7" t="s">
        <v>114</v>
      </c>
      <c r="C276">
        <v>355</v>
      </c>
      <c r="D276" s="8">
        <v>1084.55</v>
      </c>
      <c r="E276">
        <v>250</v>
      </c>
    </row>
    <row r="277" spans="1:5" x14ac:dyDescent="0.35">
      <c r="A277" t="s">
        <v>19</v>
      </c>
      <c r="B277" s="7" t="s">
        <v>115</v>
      </c>
      <c r="C277">
        <v>356</v>
      </c>
      <c r="D277" s="8">
        <v>1108.3</v>
      </c>
      <c r="E277">
        <v>250</v>
      </c>
    </row>
    <row r="278" spans="1:5" x14ac:dyDescent="0.35">
      <c r="A278" t="s">
        <v>19</v>
      </c>
      <c r="B278" s="7" t="s">
        <v>116</v>
      </c>
      <c r="C278">
        <v>389</v>
      </c>
      <c r="D278" s="8">
        <v>1167</v>
      </c>
      <c r="E278">
        <v>267</v>
      </c>
    </row>
    <row r="279" spans="1:5" x14ac:dyDescent="0.35">
      <c r="A279" t="s">
        <v>19</v>
      </c>
      <c r="B279" s="7" t="s">
        <v>117</v>
      </c>
      <c r="C279">
        <v>490</v>
      </c>
      <c r="D279" s="8">
        <v>1529.45</v>
      </c>
      <c r="E279">
        <v>338</v>
      </c>
    </row>
    <row r="280" spans="1:5" x14ac:dyDescent="0.35">
      <c r="A280" t="s">
        <v>19</v>
      </c>
      <c r="B280" s="7" t="s">
        <v>118</v>
      </c>
      <c r="C280">
        <v>443</v>
      </c>
      <c r="D280" s="8">
        <v>1427.78</v>
      </c>
      <c r="E280">
        <v>315</v>
      </c>
    </row>
    <row r="281" spans="1:5" x14ac:dyDescent="0.35">
      <c r="A281" t="s">
        <v>19</v>
      </c>
      <c r="B281" s="7" t="s">
        <v>119</v>
      </c>
      <c r="C281">
        <v>460</v>
      </c>
      <c r="D281" s="8">
        <v>1431.4</v>
      </c>
      <c r="E281">
        <v>330</v>
      </c>
    </row>
    <row r="282" spans="1:5" x14ac:dyDescent="0.35">
      <c r="A282" t="s">
        <v>19</v>
      </c>
      <c r="B282" s="7" t="s">
        <v>120</v>
      </c>
      <c r="C282">
        <v>425</v>
      </c>
      <c r="D282" s="8">
        <v>1411.05</v>
      </c>
      <c r="E282">
        <v>311</v>
      </c>
    </row>
    <row r="283" spans="1:5" x14ac:dyDescent="0.35">
      <c r="A283" t="s">
        <v>19</v>
      </c>
      <c r="B283" s="7" t="s">
        <v>121</v>
      </c>
      <c r="C283">
        <v>420</v>
      </c>
      <c r="D283" s="8">
        <v>1362.03</v>
      </c>
      <c r="E283">
        <v>304</v>
      </c>
    </row>
    <row r="284" spans="1:5" x14ac:dyDescent="0.35">
      <c r="A284" t="s">
        <v>19</v>
      </c>
      <c r="B284" s="7" t="s">
        <v>122</v>
      </c>
      <c r="C284">
        <v>476</v>
      </c>
      <c r="D284" s="8">
        <v>1569</v>
      </c>
      <c r="E284">
        <v>337</v>
      </c>
    </row>
    <row r="285" spans="1:5" x14ac:dyDescent="0.35">
      <c r="A285" t="s">
        <v>19</v>
      </c>
      <c r="B285" s="7" t="s">
        <v>123</v>
      </c>
      <c r="C285">
        <v>547</v>
      </c>
      <c r="D285" s="8">
        <v>1797.4</v>
      </c>
      <c r="E285">
        <v>354</v>
      </c>
    </row>
    <row r="286" spans="1:5" x14ac:dyDescent="0.35">
      <c r="A286" t="s">
        <v>19</v>
      </c>
      <c r="B286" s="7" t="s">
        <v>124</v>
      </c>
      <c r="C286">
        <v>483</v>
      </c>
      <c r="D286" s="8">
        <v>1818.46</v>
      </c>
      <c r="E286">
        <v>358</v>
      </c>
    </row>
    <row r="287" spans="1:5" x14ac:dyDescent="0.35">
      <c r="A287" t="s">
        <v>19</v>
      </c>
      <c r="B287" s="7" t="s">
        <v>125</v>
      </c>
      <c r="C287">
        <v>372</v>
      </c>
      <c r="D287" s="8">
        <v>1229.08</v>
      </c>
      <c r="E287">
        <v>270</v>
      </c>
    </row>
    <row r="288" spans="1:5" x14ac:dyDescent="0.35">
      <c r="A288" t="s">
        <v>19</v>
      </c>
      <c r="B288" s="7" t="s">
        <v>126</v>
      </c>
      <c r="C288">
        <v>461</v>
      </c>
      <c r="D288" s="8">
        <v>1555.43</v>
      </c>
      <c r="E288">
        <v>335</v>
      </c>
    </row>
    <row r="289" spans="1:5" x14ac:dyDescent="0.35">
      <c r="A289" t="s">
        <v>19</v>
      </c>
      <c r="B289" s="7" t="s">
        <v>127</v>
      </c>
      <c r="C289">
        <v>291</v>
      </c>
      <c r="D289" s="8">
        <v>1638.45</v>
      </c>
      <c r="E289">
        <v>205</v>
      </c>
    </row>
    <row r="290" spans="1:5" x14ac:dyDescent="0.35">
      <c r="A290" t="s">
        <v>19</v>
      </c>
      <c r="B290" s="7" t="s">
        <v>128</v>
      </c>
      <c r="C290">
        <v>470</v>
      </c>
      <c r="D290" s="8">
        <v>1580.6</v>
      </c>
      <c r="E290">
        <v>329</v>
      </c>
    </row>
    <row r="291" spans="1:5" x14ac:dyDescent="0.35">
      <c r="A291" t="s">
        <v>19</v>
      </c>
      <c r="B291" s="7" t="s">
        <v>129</v>
      </c>
      <c r="C291">
        <v>418</v>
      </c>
      <c r="D291" s="8">
        <v>1449.18</v>
      </c>
      <c r="E291">
        <v>309</v>
      </c>
    </row>
    <row r="292" spans="1:5" x14ac:dyDescent="0.35">
      <c r="A292" t="s">
        <v>19</v>
      </c>
      <c r="B292" s="7" t="s">
        <v>130</v>
      </c>
      <c r="C292">
        <v>422</v>
      </c>
      <c r="D292" s="8">
        <v>1317.4</v>
      </c>
      <c r="E292">
        <v>286</v>
      </c>
    </row>
    <row r="293" spans="1:5" x14ac:dyDescent="0.35">
      <c r="A293" t="s">
        <v>19</v>
      </c>
      <c r="B293" s="7" t="s">
        <v>131</v>
      </c>
      <c r="C293">
        <v>466</v>
      </c>
      <c r="D293" s="8">
        <v>1521.85</v>
      </c>
      <c r="E293">
        <v>340</v>
      </c>
    </row>
    <row r="294" spans="1:5" x14ac:dyDescent="0.35">
      <c r="A294" t="s">
        <v>19</v>
      </c>
      <c r="B294" s="7" t="s">
        <v>132</v>
      </c>
      <c r="C294">
        <v>315</v>
      </c>
      <c r="D294" s="8">
        <v>1035.45</v>
      </c>
      <c r="E294">
        <v>226</v>
      </c>
    </row>
    <row r="295" spans="1:5" x14ac:dyDescent="0.35">
      <c r="A295" t="s">
        <v>19</v>
      </c>
      <c r="B295" s="7" t="s">
        <v>133</v>
      </c>
      <c r="C295">
        <v>396</v>
      </c>
      <c r="D295" s="8">
        <v>1414.48</v>
      </c>
      <c r="E295">
        <v>284</v>
      </c>
    </row>
    <row r="296" spans="1:5" x14ac:dyDescent="0.35">
      <c r="A296" t="s">
        <v>19</v>
      </c>
      <c r="B296" s="7" t="s">
        <v>134</v>
      </c>
      <c r="C296">
        <v>348</v>
      </c>
      <c r="D296" s="8">
        <v>1166.75</v>
      </c>
      <c r="E296">
        <v>248</v>
      </c>
    </row>
    <row r="297" spans="1:5" x14ac:dyDescent="0.35">
      <c r="A297" t="s">
        <v>19</v>
      </c>
      <c r="B297" s="7" t="s">
        <v>135</v>
      </c>
      <c r="C297">
        <v>376</v>
      </c>
      <c r="D297" s="8">
        <v>1284.55</v>
      </c>
      <c r="E297">
        <v>266</v>
      </c>
    </row>
    <row r="298" spans="1:5" x14ac:dyDescent="0.35">
      <c r="A298" t="s">
        <v>19</v>
      </c>
      <c r="B298" s="7" t="s">
        <v>136</v>
      </c>
      <c r="C298">
        <v>417</v>
      </c>
      <c r="D298" s="8">
        <v>1427.5</v>
      </c>
      <c r="E298">
        <v>304</v>
      </c>
    </row>
    <row r="299" spans="1:5" x14ac:dyDescent="0.35">
      <c r="A299" t="s">
        <v>19</v>
      </c>
      <c r="B299" s="7" t="s">
        <v>137</v>
      </c>
      <c r="C299">
        <v>462</v>
      </c>
      <c r="D299" s="8">
        <v>1301.45</v>
      </c>
      <c r="E299">
        <v>319</v>
      </c>
    </row>
    <row r="300" spans="1:5" x14ac:dyDescent="0.35">
      <c r="A300" t="s">
        <v>19</v>
      </c>
      <c r="B300" s="7" t="s">
        <v>138</v>
      </c>
      <c r="C300">
        <v>344</v>
      </c>
      <c r="D300" s="8">
        <v>1089.95</v>
      </c>
      <c r="E300">
        <v>248</v>
      </c>
    </row>
    <row r="301" spans="1:5" x14ac:dyDescent="0.35">
      <c r="A301" t="s">
        <v>19</v>
      </c>
      <c r="B301" s="7" t="s">
        <v>139</v>
      </c>
      <c r="C301">
        <v>290</v>
      </c>
      <c r="D301" s="8">
        <v>892.55</v>
      </c>
      <c r="E301">
        <v>199</v>
      </c>
    </row>
    <row r="302" spans="1:5" x14ac:dyDescent="0.35">
      <c r="A302" t="s">
        <v>19</v>
      </c>
      <c r="B302" s="7" t="s">
        <v>140</v>
      </c>
      <c r="C302">
        <v>346</v>
      </c>
      <c r="D302" s="8">
        <v>1111.4000000000001</v>
      </c>
      <c r="E302">
        <v>254</v>
      </c>
    </row>
    <row r="303" spans="1:5" x14ac:dyDescent="0.35">
      <c r="A303" t="s">
        <v>19</v>
      </c>
      <c r="B303" s="7" t="s">
        <v>141</v>
      </c>
      <c r="C303">
        <v>512</v>
      </c>
      <c r="D303" s="8">
        <v>1598.4</v>
      </c>
      <c r="E303">
        <v>347</v>
      </c>
    </row>
    <row r="304" spans="1:5" x14ac:dyDescent="0.35">
      <c r="A304" t="s">
        <v>19</v>
      </c>
      <c r="B304" s="7" t="s">
        <v>142</v>
      </c>
      <c r="C304">
        <v>517</v>
      </c>
      <c r="D304" s="8">
        <v>1590.55</v>
      </c>
      <c r="E304">
        <v>358</v>
      </c>
    </row>
    <row r="305" spans="1:5" x14ac:dyDescent="0.35">
      <c r="A305" t="s">
        <v>19</v>
      </c>
      <c r="B305" s="7" t="s">
        <v>143</v>
      </c>
      <c r="C305">
        <v>503</v>
      </c>
      <c r="D305" s="8">
        <v>1552.5</v>
      </c>
      <c r="E305">
        <v>357</v>
      </c>
    </row>
    <row r="306" spans="1:5" x14ac:dyDescent="0.35">
      <c r="A306" t="s">
        <v>19</v>
      </c>
      <c r="B306" s="7" t="s">
        <v>144</v>
      </c>
      <c r="C306">
        <v>467</v>
      </c>
      <c r="D306" s="8">
        <v>1448.55</v>
      </c>
      <c r="E306">
        <v>323</v>
      </c>
    </row>
    <row r="307" spans="1:5" x14ac:dyDescent="0.35">
      <c r="A307" t="s">
        <v>19</v>
      </c>
      <c r="B307" s="7" t="s">
        <v>145</v>
      </c>
      <c r="C307">
        <v>463</v>
      </c>
      <c r="D307" s="8">
        <v>1445.7</v>
      </c>
      <c r="E307">
        <v>322</v>
      </c>
    </row>
    <row r="308" spans="1:5" x14ac:dyDescent="0.35">
      <c r="A308" t="s">
        <v>19</v>
      </c>
      <c r="B308" s="7" t="s">
        <v>146</v>
      </c>
      <c r="C308">
        <v>478</v>
      </c>
      <c r="D308" s="8">
        <v>1433.1</v>
      </c>
      <c r="E308">
        <v>327</v>
      </c>
    </row>
    <row r="309" spans="1:5" x14ac:dyDescent="0.35">
      <c r="A309" t="s">
        <v>19</v>
      </c>
      <c r="B309" s="7" t="s">
        <v>147</v>
      </c>
      <c r="C309">
        <v>635</v>
      </c>
      <c r="D309" s="8">
        <v>1957.55</v>
      </c>
      <c r="E309">
        <v>437</v>
      </c>
    </row>
    <row r="310" spans="1:5" x14ac:dyDescent="0.35">
      <c r="A310" t="s">
        <v>19</v>
      </c>
      <c r="B310" s="7" t="s">
        <v>148</v>
      </c>
      <c r="C310">
        <v>560</v>
      </c>
      <c r="D310" s="8">
        <v>1767.38</v>
      </c>
      <c r="E310">
        <v>396</v>
      </c>
    </row>
    <row r="311" spans="1:5" x14ac:dyDescent="0.35">
      <c r="A311" t="s">
        <v>19</v>
      </c>
      <c r="B311" s="7" t="s">
        <v>149</v>
      </c>
      <c r="C311">
        <v>608</v>
      </c>
      <c r="D311" s="8">
        <v>1916.2</v>
      </c>
      <c r="E311">
        <v>430</v>
      </c>
    </row>
    <row r="312" spans="1:5" x14ac:dyDescent="0.35">
      <c r="A312" t="s">
        <v>19</v>
      </c>
      <c r="B312" s="7" t="s">
        <v>150</v>
      </c>
      <c r="C312">
        <v>586</v>
      </c>
      <c r="D312" s="8">
        <v>1942.63</v>
      </c>
      <c r="E312">
        <v>422</v>
      </c>
    </row>
    <row r="313" spans="1:5" x14ac:dyDescent="0.35">
      <c r="A313" t="s">
        <v>19</v>
      </c>
      <c r="B313" s="7" t="s">
        <v>151</v>
      </c>
      <c r="C313">
        <v>562</v>
      </c>
      <c r="D313" s="8">
        <v>1905.31</v>
      </c>
      <c r="E313">
        <v>404</v>
      </c>
    </row>
    <row r="314" spans="1:5" x14ac:dyDescent="0.35">
      <c r="A314" t="s">
        <v>19</v>
      </c>
      <c r="B314" s="7" t="s">
        <v>152</v>
      </c>
      <c r="C314">
        <v>583</v>
      </c>
      <c r="D314" s="8">
        <v>1896.4</v>
      </c>
      <c r="E314">
        <v>411</v>
      </c>
    </row>
    <row r="315" spans="1:5" x14ac:dyDescent="0.35">
      <c r="A315" t="s">
        <v>19</v>
      </c>
      <c r="B315" s="7" t="s">
        <v>153</v>
      </c>
      <c r="C315">
        <v>684</v>
      </c>
      <c r="D315" s="8">
        <v>2312.6</v>
      </c>
      <c r="E315">
        <v>445</v>
      </c>
    </row>
    <row r="316" spans="1:5" x14ac:dyDescent="0.35">
      <c r="A316" t="s">
        <v>19</v>
      </c>
      <c r="B316" s="7" t="s">
        <v>154</v>
      </c>
      <c r="C316">
        <v>561</v>
      </c>
      <c r="D316" s="8">
        <v>1979.71</v>
      </c>
      <c r="E316">
        <v>424</v>
      </c>
    </row>
    <row r="317" spans="1:5" x14ac:dyDescent="0.35">
      <c r="A317" t="s">
        <v>19</v>
      </c>
      <c r="B317" s="7" t="s">
        <v>155</v>
      </c>
      <c r="C317">
        <v>480</v>
      </c>
      <c r="D317" s="8">
        <v>1592.65</v>
      </c>
      <c r="E317">
        <v>342</v>
      </c>
    </row>
    <row r="318" spans="1:5" x14ac:dyDescent="0.35">
      <c r="A318" t="s">
        <v>19</v>
      </c>
      <c r="B318" s="7" t="s">
        <v>156</v>
      </c>
      <c r="C318">
        <v>541</v>
      </c>
      <c r="D318" s="8">
        <v>1815.78</v>
      </c>
      <c r="E318">
        <v>399</v>
      </c>
    </row>
    <row r="319" spans="1:5" x14ac:dyDescent="0.35">
      <c r="A319" t="s">
        <v>19</v>
      </c>
      <c r="B319" s="7" t="s">
        <v>157</v>
      </c>
      <c r="C319">
        <v>359</v>
      </c>
      <c r="D319" s="8">
        <v>1791.35</v>
      </c>
      <c r="E319">
        <v>247</v>
      </c>
    </row>
    <row r="320" spans="1:5" x14ac:dyDescent="0.35">
      <c r="A320" t="s">
        <v>19</v>
      </c>
      <c r="B320" s="7" t="s">
        <v>158</v>
      </c>
      <c r="C320">
        <v>583</v>
      </c>
      <c r="D320" s="8">
        <v>1949.33</v>
      </c>
      <c r="E320">
        <v>419</v>
      </c>
    </row>
    <row r="321" spans="1:5" x14ac:dyDescent="0.35">
      <c r="A321" t="s">
        <v>19</v>
      </c>
      <c r="B321" s="7" t="s">
        <v>159</v>
      </c>
      <c r="C321">
        <v>561</v>
      </c>
      <c r="D321" s="8">
        <v>1908.83</v>
      </c>
      <c r="E321">
        <v>405</v>
      </c>
    </row>
    <row r="322" spans="1:5" x14ac:dyDescent="0.35">
      <c r="A322" t="s">
        <v>19</v>
      </c>
      <c r="B322" s="7" t="s">
        <v>160</v>
      </c>
      <c r="C322">
        <v>568</v>
      </c>
      <c r="D322" s="8">
        <v>1883.15</v>
      </c>
      <c r="E322">
        <v>393</v>
      </c>
    </row>
    <row r="323" spans="1:5" x14ac:dyDescent="0.35">
      <c r="A323" t="s">
        <v>19</v>
      </c>
      <c r="B323" s="7" t="s">
        <v>161</v>
      </c>
      <c r="C323">
        <v>605</v>
      </c>
      <c r="D323" s="8">
        <v>2085.08</v>
      </c>
      <c r="E323">
        <v>436</v>
      </c>
    </row>
    <row r="324" spans="1:5" x14ac:dyDescent="0.35">
      <c r="A324" t="s">
        <v>19</v>
      </c>
      <c r="B324" s="7" t="s">
        <v>162</v>
      </c>
      <c r="C324">
        <v>442</v>
      </c>
      <c r="D324" s="8">
        <v>1510.95</v>
      </c>
      <c r="E324">
        <v>320</v>
      </c>
    </row>
    <row r="325" spans="1:5" x14ac:dyDescent="0.35">
      <c r="A325" t="s">
        <v>19</v>
      </c>
      <c r="B325" s="7" t="s">
        <v>163</v>
      </c>
      <c r="C325">
        <v>544</v>
      </c>
      <c r="D325" s="8">
        <v>1835.93</v>
      </c>
      <c r="E325">
        <v>394</v>
      </c>
    </row>
    <row r="326" spans="1:5" x14ac:dyDescent="0.35">
      <c r="A326" t="s">
        <v>19</v>
      </c>
      <c r="B326" s="7" t="s">
        <v>164</v>
      </c>
      <c r="C326">
        <v>444</v>
      </c>
      <c r="D326" s="8">
        <v>1533.2</v>
      </c>
      <c r="E326">
        <v>314</v>
      </c>
    </row>
    <row r="327" spans="1:5" x14ac:dyDescent="0.35">
      <c r="A327" t="s">
        <v>19</v>
      </c>
      <c r="B327" s="7" t="s">
        <v>165</v>
      </c>
      <c r="C327">
        <v>456</v>
      </c>
      <c r="D327" s="8">
        <v>1597.4</v>
      </c>
      <c r="E327">
        <v>321</v>
      </c>
    </row>
    <row r="328" spans="1:5" x14ac:dyDescent="0.35">
      <c r="A328" t="s">
        <v>19</v>
      </c>
      <c r="B328" s="7" t="s">
        <v>166</v>
      </c>
      <c r="C328">
        <v>451</v>
      </c>
      <c r="D328" s="8">
        <v>1507.3</v>
      </c>
      <c r="E328">
        <v>337</v>
      </c>
    </row>
    <row r="329" spans="1:5" x14ac:dyDescent="0.35">
      <c r="A329" t="s">
        <v>19</v>
      </c>
      <c r="B329" s="7" t="s">
        <v>167</v>
      </c>
      <c r="C329">
        <v>582</v>
      </c>
      <c r="D329" s="8">
        <v>1655.25</v>
      </c>
      <c r="E329">
        <v>406</v>
      </c>
    </row>
    <row r="330" spans="1:5" x14ac:dyDescent="0.35">
      <c r="A330" t="s">
        <v>19</v>
      </c>
      <c r="B330" s="7" t="s">
        <v>168</v>
      </c>
      <c r="C330">
        <v>404</v>
      </c>
      <c r="D330" s="8">
        <v>1264.75</v>
      </c>
      <c r="E330">
        <v>299</v>
      </c>
    </row>
    <row r="331" spans="1:5" x14ac:dyDescent="0.35">
      <c r="A331" t="s">
        <v>19</v>
      </c>
      <c r="B331" s="7" t="s">
        <v>169</v>
      </c>
      <c r="C331">
        <v>363</v>
      </c>
      <c r="D331" s="8">
        <v>1125.1500000000001</v>
      </c>
      <c r="E331">
        <v>257</v>
      </c>
    </row>
    <row r="332" spans="1:5" x14ac:dyDescent="0.35">
      <c r="A332" t="s">
        <v>19</v>
      </c>
      <c r="B332" s="7" t="s">
        <v>170</v>
      </c>
      <c r="C332">
        <v>426</v>
      </c>
      <c r="D332" s="8">
        <v>1432.5</v>
      </c>
      <c r="E332">
        <v>307</v>
      </c>
    </row>
    <row r="333" spans="1:5" x14ac:dyDescent="0.35">
      <c r="A333" t="s">
        <v>19</v>
      </c>
      <c r="B333" s="7" t="s">
        <v>171</v>
      </c>
      <c r="C333">
        <v>416</v>
      </c>
      <c r="D333" s="8">
        <v>1363.75</v>
      </c>
      <c r="E333">
        <v>295</v>
      </c>
    </row>
    <row r="334" spans="1:5" x14ac:dyDescent="0.35">
      <c r="A334" t="s">
        <v>19</v>
      </c>
      <c r="B334" s="7" t="s">
        <v>172</v>
      </c>
      <c r="C334">
        <v>582</v>
      </c>
      <c r="D334" s="8">
        <v>1829.2</v>
      </c>
      <c r="E334">
        <v>392</v>
      </c>
    </row>
    <row r="335" spans="1:5" x14ac:dyDescent="0.35">
      <c r="A335" t="s">
        <v>19</v>
      </c>
      <c r="B335" s="7" t="s">
        <v>173</v>
      </c>
      <c r="C335">
        <v>555</v>
      </c>
      <c r="D335" s="8">
        <v>1701.6</v>
      </c>
      <c r="E335">
        <v>381</v>
      </c>
    </row>
    <row r="336" spans="1:5" x14ac:dyDescent="0.35">
      <c r="A336" t="s">
        <v>19</v>
      </c>
      <c r="B336" s="7" t="s">
        <v>174</v>
      </c>
      <c r="C336">
        <v>522</v>
      </c>
      <c r="D336" s="8">
        <v>1612.8</v>
      </c>
      <c r="E336">
        <v>360</v>
      </c>
    </row>
    <row r="337" spans="1:5" x14ac:dyDescent="0.35">
      <c r="A337" t="s">
        <v>19</v>
      </c>
      <c r="B337" s="7" t="s">
        <v>175</v>
      </c>
      <c r="C337">
        <v>529</v>
      </c>
      <c r="D337" s="8">
        <v>1628.9</v>
      </c>
      <c r="E337">
        <v>363</v>
      </c>
    </row>
    <row r="338" spans="1:5" x14ac:dyDescent="0.35">
      <c r="A338" t="s">
        <v>19</v>
      </c>
      <c r="B338" s="7" t="s">
        <v>176</v>
      </c>
      <c r="C338">
        <v>495</v>
      </c>
      <c r="D338" s="8">
        <v>1531.7</v>
      </c>
      <c r="E338">
        <v>346</v>
      </c>
    </row>
    <row r="339" spans="1:5" x14ac:dyDescent="0.35">
      <c r="A339" t="s">
        <v>19</v>
      </c>
      <c r="B339" s="7" t="s">
        <v>177</v>
      </c>
      <c r="C339">
        <v>533</v>
      </c>
      <c r="D339" s="8">
        <v>1611.4</v>
      </c>
      <c r="E339">
        <v>362</v>
      </c>
    </row>
    <row r="340" spans="1:5" x14ac:dyDescent="0.35">
      <c r="A340" t="s">
        <v>19</v>
      </c>
      <c r="B340" s="7" t="s">
        <v>178</v>
      </c>
      <c r="C340">
        <v>652</v>
      </c>
      <c r="D340" s="8">
        <v>2045.5</v>
      </c>
      <c r="E340">
        <v>453</v>
      </c>
    </row>
    <row r="341" spans="1:5" x14ac:dyDescent="0.35">
      <c r="A341" t="s">
        <v>19</v>
      </c>
      <c r="B341" s="7" t="s">
        <v>179</v>
      </c>
      <c r="C341">
        <v>623</v>
      </c>
      <c r="D341" s="8">
        <v>2028.11</v>
      </c>
      <c r="E341">
        <v>448</v>
      </c>
    </row>
    <row r="342" spans="1:5" x14ac:dyDescent="0.35">
      <c r="A342" t="s">
        <v>19</v>
      </c>
      <c r="B342" s="7" t="s">
        <v>180</v>
      </c>
      <c r="C342">
        <v>693</v>
      </c>
      <c r="D342" s="8">
        <v>2189.6</v>
      </c>
      <c r="E342">
        <v>491</v>
      </c>
    </row>
    <row r="343" spans="1:5" x14ac:dyDescent="0.35">
      <c r="A343" t="s">
        <v>19</v>
      </c>
      <c r="B343" s="7" t="s">
        <v>181</v>
      </c>
      <c r="C343">
        <v>612</v>
      </c>
      <c r="D343" s="8">
        <v>1990.7</v>
      </c>
      <c r="E343">
        <v>439</v>
      </c>
    </row>
    <row r="344" spans="1:5" x14ac:dyDescent="0.35">
      <c r="A344" t="s">
        <v>19</v>
      </c>
      <c r="B344" s="7" t="s">
        <v>182</v>
      </c>
      <c r="C344">
        <v>636</v>
      </c>
      <c r="D344" s="8">
        <v>2002.53</v>
      </c>
      <c r="E344">
        <v>455</v>
      </c>
    </row>
    <row r="345" spans="1:5" x14ac:dyDescent="0.35">
      <c r="A345" t="s">
        <v>19</v>
      </c>
      <c r="B345" s="7" t="s">
        <v>183</v>
      </c>
      <c r="C345">
        <v>644</v>
      </c>
      <c r="D345" s="8">
        <v>2106.6</v>
      </c>
      <c r="E345">
        <v>453</v>
      </c>
    </row>
    <row r="346" spans="1:5" x14ac:dyDescent="0.35">
      <c r="A346" t="s">
        <v>19</v>
      </c>
      <c r="B346" s="7" t="s">
        <v>184</v>
      </c>
      <c r="C346">
        <v>769</v>
      </c>
      <c r="D346" s="8">
        <v>2534.8000000000002</v>
      </c>
      <c r="E346">
        <v>493</v>
      </c>
    </row>
    <row r="347" spans="1:5" x14ac:dyDescent="0.35">
      <c r="A347" t="s">
        <v>19</v>
      </c>
      <c r="B347" s="7" t="s">
        <v>185</v>
      </c>
      <c r="C347">
        <v>672</v>
      </c>
      <c r="D347" s="8">
        <v>2496.61</v>
      </c>
      <c r="E347">
        <v>498</v>
      </c>
    </row>
    <row r="348" spans="1:5" x14ac:dyDescent="0.35">
      <c r="A348" t="s">
        <v>19</v>
      </c>
      <c r="B348" s="7" t="s">
        <v>186</v>
      </c>
      <c r="C348">
        <v>549</v>
      </c>
      <c r="D348" s="8">
        <v>1788.18</v>
      </c>
      <c r="E348">
        <v>392</v>
      </c>
    </row>
    <row r="349" spans="1:5" x14ac:dyDescent="0.35">
      <c r="A349" t="s">
        <v>19</v>
      </c>
      <c r="B349" s="7" t="s">
        <v>187</v>
      </c>
      <c r="C349">
        <v>597</v>
      </c>
      <c r="D349" s="8">
        <v>1975.95</v>
      </c>
      <c r="E349">
        <v>436</v>
      </c>
    </row>
    <row r="350" spans="1:5" x14ac:dyDescent="0.35">
      <c r="A350" t="s">
        <v>19</v>
      </c>
      <c r="B350" s="7" t="s">
        <v>188</v>
      </c>
      <c r="C350">
        <v>397</v>
      </c>
      <c r="D350" s="8">
        <v>2320.1</v>
      </c>
      <c r="E350">
        <v>273</v>
      </c>
    </row>
    <row r="351" spans="1:5" x14ac:dyDescent="0.35">
      <c r="A351" t="s">
        <v>19</v>
      </c>
      <c r="B351" s="7" t="s">
        <v>189</v>
      </c>
      <c r="C351">
        <v>638</v>
      </c>
      <c r="D351" s="8">
        <v>2175.9299999999998</v>
      </c>
      <c r="E351">
        <v>451</v>
      </c>
    </row>
    <row r="352" spans="1:5" x14ac:dyDescent="0.35">
      <c r="A352" t="s">
        <v>19</v>
      </c>
      <c r="B352" s="7" t="s">
        <v>190</v>
      </c>
      <c r="C352">
        <v>624</v>
      </c>
      <c r="D352" s="8">
        <v>2124.08</v>
      </c>
      <c r="E352">
        <v>454</v>
      </c>
    </row>
    <row r="353" spans="1:5" x14ac:dyDescent="0.35">
      <c r="A353" t="s">
        <v>19</v>
      </c>
      <c r="B353" s="7" t="s">
        <v>191</v>
      </c>
      <c r="C353">
        <v>575</v>
      </c>
      <c r="D353" s="8">
        <v>1885.65</v>
      </c>
      <c r="E353">
        <v>396</v>
      </c>
    </row>
    <row r="354" spans="1:5" x14ac:dyDescent="0.35">
      <c r="A354" t="s">
        <v>19</v>
      </c>
      <c r="B354" s="7" t="s">
        <v>192</v>
      </c>
      <c r="C354">
        <v>671</v>
      </c>
      <c r="D354" s="8">
        <v>2303.83</v>
      </c>
      <c r="E354">
        <v>485</v>
      </c>
    </row>
    <row r="355" spans="1:5" x14ac:dyDescent="0.35">
      <c r="A355" t="s">
        <v>19</v>
      </c>
      <c r="B355" s="7" t="s">
        <v>193</v>
      </c>
      <c r="C355">
        <v>469</v>
      </c>
      <c r="D355" s="8">
        <v>1557.1</v>
      </c>
      <c r="E355">
        <v>341</v>
      </c>
    </row>
    <row r="356" spans="1:5" x14ac:dyDescent="0.35">
      <c r="A356" t="s">
        <v>19</v>
      </c>
      <c r="B356" s="7" t="s">
        <v>194</v>
      </c>
      <c r="C356">
        <v>570</v>
      </c>
      <c r="D356" s="8">
        <v>1984.08</v>
      </c>
      <c r="E356">
        <v>402</v>
      </c>
    </row>
    <row r="357" spans="1:5" x14ac:dyDescent="0.35">
      <c r="A357" t="s">
        <v>19</v>
      </c>
      <c r="B357" s="7" t="s">
        <v>195</v>
      </c>
      <c r="C357">
        <v>511</v>
      </c>
      <c r="D357" s="8">
        <v>1690.8</v>
      </c>
      <c r="E357">
        <v>359</v>
      </c>
    </row>
    <row r="358" spans="1:5" x14ac:dyDescent="0.35">
      <c r="A358" t="s">
        <v>19</v>
      </c>
      <c r="B358" s="7" t="s">
        <v>196</v>
      </c>
      <c r="C358">
        <v>527</v>
      </c>
      <c r="D358" s="8">
        <v>1769.2</v>
      </c>
      <c r="E358">
        <v>376</v>
      </c>
    </row>
    <row r="359" spans="1:5" x14ac:dyDescent="0.35">
      <c r="A359" t="s">
        <v>19</v>
      </c>
      <c r="B359" s="7" t="s">
        <v>197</v>
      </c>
      <c r="C359">
        <v>528</v>
      </c>
      <c r="D359" s="8">
        <v>1746.1</v>
      </c>
      <c r="E359">
        <v>387</v>
      </c>
    </row>
    <row r="360" spans="1:5" x14ac:dyDescent="0.35">
      <c r="A360" t="s">
        <v>19</v>
      </c>
      <c r="B360" s="7" t="s">
        <v>198</v>
      </c>
      <c r="C360">
        <v>594</v>
      </c>
      <c r="D360" s="8">
        <v>1676.7</v>
      </c>
      <c r="E360">
        <v>414</v>
      </c>
    </row>
    <row r="361" spans="1:5" x14ac:dyDescent="0.35">
      <c r="A361" t="s">
        <v>19</v>
      </c>
      <c r="B361" s="7" t="s">
        <v>199</v>
      </c>
      <c r="C361">
        <v>459</v>
      </c>
      <c r="D361" s="8">
        <v>1445.85</v>
      </c>
      <c r="E361">
        <v>334</v>
      </c>
    </row>
    <row r="362" spans="1:5" x14ac:dyDescent="0.35">
      <c r="A362" t="s">
        <v>19</v>
      </c>
      <c r="B362" s="7" t="s">
        <v>200</v>
      </c>
      <c r="C362">
        <v>420</v>
      </c>
      <c r="D362" s="8">
        <v>1298.55</v>
      </c>
      <c r="E362">
        <v>294</v>
      </c>
    </row>
    <row r="363" spans="1:5" x14ac:dyDescent="0.35">
      <c r="A363" t="s">
        <v>19</v>
      </c>
      <c r="B363" s="7" t="s">
        <v>201</v>
      </c>
      <c r="C363">
        <v>478</v>
      </c>
      <c r="D363" s="8">
        <v>1904.93</v>
      </c>
      <c r="E363">
        <v>343</v>
      </c>
    </row>
    <row r="364" spans="1:5" x14ac:dyDescent="0.35">
      <c r="A364" t="s">
        <v>18</v>
      </c>
      <c r="B364" s="7" t="s">
        <v>21</v>
      </c>
      <c r="C364">
        <v>255</v>
      </c>
      <c r="D364" s="8">
        <v>788.35</v>
      </c>
      <c r="E364">
        <v>176</v>
      </c>
    </row>
    <row r="365" spans="1:5" x14ac:dyDescent="0.35">
      <c r="A365" t="s">
        <v>18</v>
      </c>
      <c r="B365" s="7" t="s">
        <v>22</v>
      </c>
      <c r="C365">
        <v>217</v>
      </c>
      <c r="D365" s="8">
        <v>649.04999999999995</v>
      </c>
      <c r="E365">
        <v>159</v>
      </c>
    </row>
    <row r="366" spans="1:5" x14ac:dyDescent="0.35">
      <c r="A366" t="s">
        <v>18</v>
      </c>
      <c r="B366" s="7" t="s">
        <v>23</v>
      </c>
      <c r="C366">
        <v>241</v>
      </c>
      <c r="D366" s="8">
        <v>756</v>
      </c>
      <c r="E366">
        <v>166</v>
      </c>
    </row>
    <row r="367" spans="1:5" x14ac:dyDescent="0.35">
      <c r="A367" t="s">
        <v>18</v>
      </c>
      <c r="B367" s="7" t="s">
        <v>24</v>
      </c>
      <c r="C367">
        <v>208</v>
      </c>
      <c r="D367" s="8">
        <v>630.20000000000005</v>
      </c>
      <c r="E367">
        <v>140</v>
      </c>
    </row>
    <row r="368" spans="1:5" x14ac:dyDescent="0.35">
      <c r="A368" t="s">
        <v>18</v>
      </c>
      <c r="B368" s="7" t="s">
        <v>25</v>
      </c>
      <c r="C368">
        <v>258</v>
      </c>
      <c r="D368" s="8">
        <v>800.9</v>
      </c>
      <c r="E368">
        <v>181</v>
      </c>
    </row>
    <row r="369" spans="1:5" x14ac:dyDescent="0.35">
      <c r="A369" t="s">
        <v>18</v>
      </c>
      <c r="B369" s="7" t="s">
        <v>26</v>
      </c>
      <c r="C369">
        <v>256</v>
      </c>
      <c r="D369" s="8">
        <v>790.6</v>
      </c>
      <c r="E369">
        <v>181</v>
      </c>
    </row>
    <row r="370" spans="1:5" x14ac:dyDescent="0.35">
      <c r="A370" t="s">
        <v>18</v>
      </c>
      <c r="B370" s="7" t="s">
        <v>27</v>
      </c>
      <c r="C370">
        <v>219</v>
      </c>
      <c r="D370" s="8">
        <v>788.25</v>
      </c>
      <c r="E370">
        <v>156</v>
      </c>
    </row>
    <row r="371" spans="1:5" x14ac:dyDescent="0.35">
      <c r="A371" t="s">
        <v>18</v>
      </c>
      <c r="B371" s="7" t="s">
        <v>28</v>
      </c>
      <c r="C371">
        <v>302</v>
      </c>
      <c r="D371" s="8">
        <v>972.55</v>
      </c>
      <c r="E371">
        <v>205</v>
      </c>
    </row>
    <row r="372" spans="1:5" x14ac:dyDescent="0.35">
      <c r="A372" t="s">
        <v>18</v>
      </c>
      <c r="B372" s="7" t="s">
        <v>29</v>
      </c>
      <c r="C372">
        <v>262</v>
      </c>
      <c r="D372" s="8">
        <v>1008.2</v>
      </c>
      <c r="E372">
        <v>192</v>
      </c>
    </row>
    <row r="373" spans="1:5" x14ac:dyDescent="0.35">
      <c r="A373" t="s">
        <v>18</v>
      </c>
      <c r="B373" s="7" t="s">
        <v>30</v>
      </c>
      <c r="C373">
        <v>277</v>
      </c>
      <c r="D373" s="8">
        <v>930.55</v>
      </c>
      <c r="E373">
        <v>203</v>
      </c>
    </row>
    <row r="374" spans="1:5" x14ac:dyDescent="0.35">
      <c r="A374" t="s">
        <v>18</v>
      </c>
      <c r="B374" s="7" t="s">
        <v>31</v>
      </c>
      <c r="C374">
        <v>258</v>
      </c>
      <c r="D374" s="8">
        <v>841.05</v>
      </c>
      <c r="E374">
        <v>187</v>
      </c>
    </row>
    <row r="375" spans="1:5" x14ac:dyDescent="0.35">
      <c r="A375" t="s">
        <v>18</v>
      </c>
      <c r="B375" s="7" t="s">
        <v>32</v>
      </c>
      <c r="C375">
        <v>302</v>
      </c>
      <c r="D375" s="8">
        <v>915.1</v>
      </c>
      <c r="E375">
        <v>211</v>
      </c>
    </row>
    <row r="376" spans="1:5" x14ac:dyDescent="0.35">
      <c r="A376" t="s">
        <v>18</v>
      </c>
      <c r="B376" s="7" t="s">
        <v>33</v>
      </c>
      <c r="C376">
        <v>295</v>
      </c>
      <c r="D376" s="8">
        <v>965.2</v>
      </c>
      <c r="E376">
        <v>193</v>
      </c>
    </row>
    <row r="377" spans="1:5" x14ac:dyDescent="0.35">
      <c r="A377" t="s">
        <v>18</v>
      </c>
      <c r="B377" s="7" t="s">
        <v>34</v>
      </c>
      <c r="C377">
        <v>232</v>
      </c>
      <c r="D377" s="8">
        <v>775</v>
      </c>
      <c r="E377">
        <v>179</v>
      </c>
    </row>
    <row r="378" spans="1:5" x14ac:dyDescent="0.35">
      <c r="A378" t="s">
        <v>18</v>
      </c>
      <c r="B378" s="7" t="s">
        <v>35</v>
      </c>
      <c r="C378">
        <v>282</v>
      </c>
      <c r="D378" s="8">
        <v>856.35</v>
      </c>
      <c r="E378">
        <v>199</v>
      </c>
    </row>
    <row r="379" spans="1:5" x14ac:dyDescent="0.35">
      <c r="A379" t="s">
        <v>18</v>
      </c>
      <c r="B379" s="7" t="s">
        <v>36</v>
      </c>
      <c r="C379">
        <v>259</v>
      </c>
      <c r="D379" s="8">
        <v>850.68</v>
      </c>
      <c r="E379">
        <v>192</v>
      </c>
    </row>
    <row r="380" spans="1:5" x14ac:dyDescent="0.35">
      <c r="A380" t="s">
        <v>18</v>
      </c>
      <c r="B380" s="7" t="s">
        <v>37</v>
      </c>
      <c r="C380">
        <v>251</v>
      </c>
      <c r="D380" s="8">
        <v>788.9</v>
      </c>
      <c r="E380">
        <v>185</v>
      </c>
    </row>
    <row r="381" spans="1:5" x14ac:dyDescent="0.35">
      <c r="A381" t="s">
        <v>18</v>
      </c>
      <c r="B381" s="7" t="s">
        <v>38</v>
      </c>
      <c r="C381">
        <v>269</v>
      </c>
      <c r="D381" s="8">
        <v>825.83</v>
      </c>
      <c r="E381">
        <v>186</v>
      </c>
    </row>
    <row r="382" spans="1:5" x14ac:dyDescent="0.35">
      <c r="A382" t="s">
        <v>18</v>
      </c>
      <c r="B382" s="7" t="s">
        <v>39</v>
      </c>
      <c r="C382">
        <v>252</v>
      </c>
      <c r="D382" s="8">
        <v>788.05</v>
      </c>
      <c r="E382">
        <v>184</v>
      </c>
    </row>
    <row r="383" spans="1:5" x14ac:dyDescent="0.35">
      <c r="A383" t="s">
        <v>18</v>
      </c>
      <c r="B383" s="7" t="s">
        <v>40</v>
      </c>
      <c r="C383">
        <v>268</v>
      </c>
      <c r="D383" s="8">
        <v>791.55</v>
      </c>
      <c r="E383">
        <v>168</v>
      </c>
    </row>
    <row r="384" spans="1:5" x14ac:dyDescent="0.35">
      <c r="A384" t="s">
        <v>18</v>
      </c>
      <c r="B384" s="7" t="s">
        <v>41</v>
      </c>
      <c r="C384">
        <v>295</v>
      </c>
      <c r="D384" s="8">
        <v>1015</v>
      </c>
      <c r="E384">
        <v>181</v>
      </c>
    </row>
    <row r="385" spans="1:5" x14ac:dyDescent="0.35">
      <c r="A385" t="s">
        <v>18</v>
      </c>
      <c r="B385" s="7" t="s">
        <v>42</v>
      </c>
      <c r="C385">
        <v>332</v>
      </c>
      <c r="D385" s="8">
        <v>1003.08</v>
      </c>
      <c r="E385">
        <v>186</v>
      </c>
    </row>
    <row r="386" spans="1:5" x14ac:dyDescent="0.35">
      <c r="A386" t="s">
        <v>18</v>
      </c>
      <c r="B386" s="7" t="s">
        <v>43</v>
      </c>
      <c r="C386">
        <v>289</v>
      </c>
      <c r="D386" s="8">
        <v>898.75</v>
      </c>
      <c r="E386">
        <v>170</v>
      </c>
    </row>
    <row r="387" spans="1:5" x14ac:dyDescent="0.35">
      <c r="A387" t="s">
        <v>18</v>
      </c>
      <c r="B387" s="7" t="s">
        <v>44</v>
      </c>
      <c r="C387">
        <v>349</v>
      </c>
      <c r="D387" s="8">
        <v>1105.8</v>
      </c>
      <c r="E387">
        <v>213</v>
      </c>
    </row>
    <row r="388" spans="1:5" x14ac:dyDescent="0.35">
      <c r="A388" t="s">
        <v>18</v>
      </c>
      <c r="B388" s="7" t="s">
        <v>45</v>
      </c>
      <c r="C388">
        <v>334</v>
      </c>
      <c r="D388" s="8">
        <v>1063.8499999999999</v>
      </c>
      <c r="E388">
        <v>187</v>
      </c>
    </row>
    <row r="389" spans="1:5" x14ac:dyDescent="0.35">
      <c r="A389" t="s">
        <v>18</v>
      </c>
      <c r="B389" s="7" t="s">
        <v>46</v>
      </c>
      <c r="C389">
        <v>324</v>
      </c>
      <c r="D389" s="8">
        <v>1067.3499999999999</v>
      </c>
      <c r="E389">
        <v>186</v>
      </c>
    </row>
    <row r="390" spans="1:5" x14ac:dyDescent="0.35">
      <c r="A390" t="s">
        <v>18</v>
      </c>
      <c r="B390" s="7" t="s">
        <v>47</v>
      </c>
      <c r="C390">
        <v>349</v>
      </c>
      <c r="D390" s="8">
        <v>1143.5</v>
      </c>
      <c r="E390">
        <v>206</v>
      </c>
    </row>
    <row r="391" spans="1:5" x14ac:dyDescent="0.35">
      <c r="A391" t="s">
        <v>18</v>
      </c>
      <c r="B391" s="7" t="s">
        <v>48</v>
      </c>
      <c r="C391">
        <v>201</v>
      </c>
      <c r="D391" s="8">
        <v>604.20000000000005</v>
      </c>
      <c r="E391">
        <v>140</v>
      </c>
    </row>
    <row r="392" spans="1:5" x14ac:dyDescent="0.35">
      <c r="A392" t="s">
        <v>18</v>
      </c>
      <c r="B392" s="7" t="s">
        <v>49</v>
      </c>
      <c r="C392">
        <v>196</v>
      </c>
      <c r="D392" s="8">
        <v>627.9</v>
      </c>
      <c r="E392">
        <v>140</v>
      </c>
    </row>
    <row r="393" spans="1:5" x14ac:dyDescent="0.35">
      <c r="A393" t="s">
        <v>18</v>
      </c>
      <c r="B393" s="7" t="s">
        <v>50</v>
      </c>
      <c r="C393">
        <v>209</v>
      </c>
      <c r="D393" s="8">
        <v>737.41</v>
      </c>
      <c r="E393">
        <v>143</v>
      </c>
    </row>
    <row r="394" spans="1:5" x14ac:dyDescent="0.35">
      <c r="A394" t="s">
        <v>18</v>
      </c>
      <c r="B394" s="7" t="s">
        <v>51</v>
      </c>
      <c r="C394">
        <v>208</v>
      </c>
      <c r="D394" s="8">
        <v>764.23</v>
      </c>
      <c r="E394">
        <v>138</v>
      </c>
    </row>
    <row r="395" spans="1:5" x14ac:dyDescent="0.35">
      <c r="A395" t="s">
        <v>18</v>
      </c>
      <c r="B395" s="7" t="s">
        <v>52</v>
      </c>
      <c r="C395">
        <v>255</v>
      </c>
      <c r="D395" s="8">
        <v>783.2</v>
      </c>
      <c r="E395">
        <v>179</v>
      </c>
    </row>
    <row r="396" spans="1:5" x14ac:dyDescent="0.35">
      <c r="A396" t="s">
        <v>18</v>
      </c>
      <c r="B396" s="7" t="s">
        <v>53</v>
      </c>
      <c r="C396">
        <v>225</v>
      </c>
      <c r="D396" s="8">
        <v>678.15</v>
      </c>
      <c r="E396">
        <v>159</v>
      </c>
    </row>
    <row r="397" spans="1:5" x14ac:dyDescent="0.35">
      <c r="A397" t="s">
        <v>18</v>
      </c>
      <c r="B397" s="7" t="s">
        <v>54</v>
      </c>
      <c r="C397">
        <v>242</v>
      </c>
      <c r="D397" s="8">
        <v>755.25</v>
      </c>
      <c r="E397">
        <v>170</v>
      </c>
    </row>
    <row r="398" spans="1:5" x14ac:dyDescent="0.35">
      <c r="A398" t="s">
        <v>18</v>
      </c>
      <c r="B398" s="7" t="s">
        <v>55</v>
      </c>
      <c r="C398">
        <v>285</v>
      </c>
      <c r="D398" s="8">
        <v>881.1</v>
      </c>
      <c r="E398">
        <v>193</v>
      </c>
    </row>
    <row r="399" spans="1:5" x14ac:dyDescent="0.35">
      <c r="A399" t="s">
        <v>18</v>
      </c>
      <c r="B399" s="7" t="s">
        <v>56</v>
      </c>
      <c r="C399">
        <v>232</v>
      </c>
      <c r="D399" s="8">
        <v>724.1</v>
      </c>
      <c r="E399">
        <v>164</v>
      </c>
    </row>
    <row r="400" spans="1:5" x14ac:dyDescent="0.35">
      <c r="A400" t="s">
        <v>18</v>
      </c>
      <c r="B400" s="7" t="s">
        <v>57</v>
      </c>
      <c r="C400">
        <v>239</v>
      </c>
      <c r="D400" s="8">
        <v>751.9</v>
      </c>
      <c r="E400">
        <v>168</v>
      </c>
    </row>
    <row r="401" spans="1:5" x14ac:dyDescent="0.35">
      <c r="A401" t="s">
        <v>18</v>
      </c>
      <c r="B401" s="7" t="s">
        <v>58</v>
      </c>
      <c r="C401">
        <v>222</v>
      </c>
      <c r="D401" s="8">
        <v>737</v>
      </c>
      <c r="E401">
        <v>158</v>
      </c>
    </row>
    <row r="402" spans="1:5" x14ac:dyDescent="0.35">
      <c r="A402" t="s">
        <v>18</v>
      </c>
      <c r="B402" s="7" t="s">
        <v>59</v>
      </c>
      <c r="C402">
        <v>283</v>
      </c>
      <c r="D402" s="8">
        <v>883.7</v>
      </c>
      <c r="E402">
        <v>199</v>
      </c>
    </row>
    <row r="403" spans="1:5" x14ac:dyDescent="0.35">
      <c r="A403" t="s">
        <v>18</v>
      </c>
      <c r="B403" s="7" t="s">
        <v>60</v>
      </c>
      <c r="C403">
        <v>244</v>
      </c>
      <c r="D403" s="8">
        <v>884.58</v>
      </c>
      <c r="E403">
        <v>171</v>
      </c>
    </row>
    <row r="404" spans="1:5" x14ac:dyDescent="0.35">
      <c r="A404" t="s">
        <v>18</v>
      </c>
      <c r="B404" s="7" t="s">
        <v>61</v>
      </c>
      <c r="C404">
        <v>295</v>
      </c>
      <c r="D404" s="8">
        <v>961.3</v>
      </c>
      <c r="E404">
        <v>205</v>
      </c>
    </row>
    <row r="405" spans="1:5" x14ac:dyDescent="0.35">
      <c r="A405" t="s">
        <v>18</v>
      </c>
      <c r="B405" s="7" t="s">
        <v>62</v>
      </c>
      <c r="C405">
        <v>265</v>
      </c>
      <c r="D405" s="8">
        <v>825.48</v>
      </c>
      <c r="E405">
        <v>191</v>
      </c>
    </row>
    <row r="406" spans="1:5" x14ac:dyDescent="0.35">
      <c r="A406" t="s">
        <v>18</v>
      </c>
      <c r="B406" s="7" t="s">
        <v>63</v>
      </c>
      <c r="C406">
        <v>339</v>
      </c>
      <c r="D406" s="8">
        <v>1087.5999999999999</v>
      </c>
      <c r="E406">
        <v>234</v>
      </c>
    </row>
    <row r="407" spans="1:5" x14ac:dyDescent="0.35">
      <c r="A407" t="s">
        <v>18</v>
      </c>
      <c r="B407" s="7" t="s">
        <v>64</v>
      </c>
      <c r="C407">
        <v>329</v>
      </c>
      <c r="D407" s="8">
        <v>1018.43</v>
      </c>
      <c r="E407">
        <v>212</v>
      </c>
    </row>
    <row r="408" spans="1:5" x14ac:dyDescent="0.35">
      <c r="A408" t="s">
        <v>18</v>
      </c>
      <c r="B408" s="7" t="s">
        <v>65</v>
      </c>
      <c r="C408">
        <v>237</v>
      </c>
      <c r="D408" s="8">
        <v>763.23</v>
      </c>
      <c r="E408">
        <v>179</v>
      </c>
    </row>
    <row r="409" spans="1:5" x14ac:dyDescent="0.35">
      <c r="A409" t="s">
        <v>18</v>
      </c>
      <c r="B409" s="7" t="s">
        <v>66</v>
      </c>
      <c r="C409">
        <v>249</v>
      </c>
      <c r="D409" s="8">
        <v>822.85</v>
      </c>
      <c r="E409">
        <v>181</v>
      </c>
    </row>
    <row r="410" spans="1:5" x14ac:dyDescent="0.35">
      <c r="A410" t="s">
        <v>18</v>
      </c>
      <c r="B410" s="7" t="s">
        <v>67</v>
      </c>
      <c r="C410">
        <v>266</v>
      </c>
      <c r="D410" s="8">
        <v>923.8</v>
      </c>
      <c r="E410">
        <v>201</v>
      </c>
    </row>
    <row r="411" spans="1:5" x14ac:dyDescent="0.35">
      <c r="A411" t="s">
        <v>18</v>
      </c>
      <c r="B411" s="7" t="s">
        <v>68</v>
      </c>
      <c r="C411">
        <v>229</v>
      </c>
      <c r="D411" s="8">
        <v>695.55</v>
      </c>
      <c r="E411">
        <v>169</v>
      </c>
    </row>
    <row r="412" spans="1:5" x14ac:dyDescent="0.35">
      <c r="A412" t="s">
        <v>18</v>
      </c>
      <c r="B412" s="7" t="s">
        <v>69</v>
      </c>
      <c r="C412">
        <v>233</v>
      </c>
      <c r="D412" s="8">
        <v>746.45</v>
      </c>
      <c r="E412">
        <v>180</v>
      </c>
    </row>
    <row r="413" spans="1:5" x14ac:dyDescent="0.35">
      <c r="A413" t="s">
        <v>18</v>
      </c>
      <c r="B413" s="7" t="s">
        <v>70</v>
      </c>
      <c r="C413">
        <v>275</v>
      </c>
      <c r="D413" s="8">
        <v>891</v>
      </c>
      <c r="E413">
        <v>200</v>
      </c>
    </row>
    <row r="414" spans="1:5" x14ac:dyDescent="0.35">
      <c r="A414" t="s">
        <v>18</v>
      </c>
      <c r="B414" s="7" t="s">
        <v>71</v>
      </c>
      <c r="C414">
        <v>336</v>
      </c>
      <c r="D414" s="8">
        <v>1056.75</v>
      </c>
      <c r="E414">
        <v>204</v>
      </c>
    </row>
    <row r="415" spans="1:5" x14ac:dyDescent="0.35">
      <c r="A415" t="s">
        <v>18</v>
      </c>
      <c r="B415" s="7" t="s">
        <v>72</v>
      </c>
      <c r="C415">
        <v>276</v>
      </c>
      <c r="D415" s="8">
        <v>954.4</v>
      </c>
      <c r="E415">
        <v>165</v>
      </c>
    </row>
    <row r="416" spans="1:5" x14ac:dyDescent="0.35">
      <c r="A416" t="s">
        <v>18</v>
      </c>
      <c r="B416" s="7" t="s">
        <v>73</v>
      </c>
      <c r="C416">
        <v>323</v>
      </c>
      <c r="D416" s="8">
        <v>1060.5</v>
      </c>
      <c r="E416">
        <v>187</v>
      </c>
    </row>
    <row r="417" spans="1:5" x14ac:dyDescent="0.35">
      <c r="A417" t="s">
        <v>18</v>
      </c>
      <c r="B417" s="7" t="s">
        <v>74</v>
      </c>
      <c r="C417">
        <v>311</v>
      </c>
      <c r="D417" s="8">
        <v>952.73</v>
      </c>
      <c r="E417">
        <v>178</v>
      </c>
    </row>
    <row r="418" spans="1:5" x14ac:dyDescent="0.35">
      <c r="A418" t="s">
        <v>18</v>
      </c>
      <c r="B418" s="7" t="s">
        <v>75</v>
      </c>
      <c r="C418">
        <v>373</v>
      </c>
      <c r="D418" s="8">
        <v>1138.7</v>
      </c>
      <c r="E418">
        <v>214</v>
      </c>
    </row>
    <row r="419" spans="1:5" x14ac:dyDescent="0.35">
      <c r="A419" t="s">
        <v>18</v>
      </c>
      <c r="B419" s="7" t="s">
        <v>76</v>
      </c>
      <c r="C419">
        <v>367</v>
      </c>
      <c r="D419" s="8">
        <v>1156.6500000000001</v>
      </c>
      <c r="E419">
        <v>209</v>
      </c>
    </row>
    <row r="420" spans="1:5" x14ac:dyDescent="0.35">
      <c r="A420" t="s">
        <v>18</v>
      </c>
      <c r="B420" s="7" t="s">
        <v>77</v>
      </c>
      <c r="C420">
        <v>299</v>
      </c>
      <c r="D420" s="8">
        <v>997.4</v>
      </c>
      <c r="E420">
        <v>170</v>
      </c>
    </row>
    <row r="421" spans="1:5" x14ac:dyDescent="0.35">
      <c r="A421" t="s">
        <v>18</v>
      </c>
      <c r="B421" s="7" t="s">
        <v>78</v>
      </c>
      <c r="C421">
        <v>434</v>
      </c>
      <c r="D421" s="8">
        <v>1469.25</v>
      </c>
      <c r="E421">
        <v>268</v>
      </c>
    </row>
    <row r="422" spans="1:5" x14ac:dyDescent="0.35">
      <c r="A422" t="s">
        <v>18</v>
      </c>
      <c r="B422" s="7" t="s">
        <v>79</v>
      </c>
      <c r="C422">
        <v>232</v>
      </c>
      <c r="D422" s="8">
        <v>719</v>
      </c>
      <c r="E422">
        <v>155</v>
      </c>
    </row>
    <row r="423" spans="1:5" x14ac:dyDescent="0.35">
      <c r="A423" t="s">
        <v>18</v>
      </c>
      <c r="B423" s="7" t="s">
        <v>80</v>
      </c>
      <c r="C423">
        <v>310</v>
      </c>
      <c r="D423" s="8">
        <v>978.7</v>
      </c>
      <c r="E423">
        <v>218</v>
      </c>
    </row>
    <row r="424" spans="1:5" x14ac:dyDescent="0.35">
      <c r="A424" t="s">
        <v>18</v>
      </c>
      <c r="B424" s="7" t="s">
        <v>81</v>
      </c>
      <c r="C424">
        <v>280</v>
      </c>
      <c r="D424" s="8">
        <v>886.9</v>
      </c>
      <c r="E424">
        <v>202</v>
      </c>
    </row>
    <row r="425" spans="1:5" x14ac:dyDescent="0.35">
      <c r="A425" t="s">
        <v>18</v>
      </c>
      <c r="B425" s="7" t="s">
        <v>82</v>
      </c>
      <c r="C425">
        <v>311</v>
      </c>
      <c r="D425" s="8">
        <v>957.25</v>
      </c>
      <c r="E425">
        <v>217</v>
      </c>
    </row>
    <row r="426" spans="1:5" x14ac:dyDescent="0.35">
      <c r="A426" t="s">
        <v>18</v>
      </c>
      <c r="B426" s="7" t="s">
        <v>83</v>
      </c>
      <c r="C426">
        <v>288</v>
      </c>
      <c r="D426" s="8">
        <v>904.75</v>
      </c>
      <c r="E426">
        <v>201</v>
      </c>
    </row>
    <row r="427" spans="1:5" x14ac:dyDescent="0.35">
      <c r="A427" t="s">
        <v>18</v>
      </c>
      <c r="B427" s="7" t="s">
        <v>84</v>
      </c>
      <c r="C427">
        <v>298</v>
      </c>
      <c r="D427" s="8">
        <v>944.15</v>
      </c>
      <c r="E427">
        <v>215</v>
      </c>
    </row>
    <row r="428" spans="1:5" x14ac:dyDescent="0.35">
      <c r="A428" t="s">
        <v>18</v>
      </c>
      <c r="B428" s="7" t="s">
        <v>85</v>
      </c>
      <c r="C428">
        <v>299</v>
      </c>
      <c r="D428" s="8">
        <v>950.35</v>
      </c>
      <c r="E428">
        <v>213</v>
      </c>
    </row>
    <row r="429" spans="1:5" x14ac:dyDescent="0.35">
      <c r="A429" t="s">
        <v>18</v>
      </c>
      <c r="B429" s="7" t="s">
        <v>86</v>
      </c>
      <c r="C429">
        <v>216</v>
      </c>
      <c r="D429" s="8">
        <v>746.15</v>
      </c>
      <c r="E429">
        <v>154</v>
      </c>
    </row>
    <row r="430" spans="1:5" x14ac:dyDescent="0.35">
      <c r="A430" t="s">
        <v>18</v>
      </c>
      <c r="B430" s="7" t="s">
        <v>87</v>
      </c>
      <c r="C430">
        <v>350</v>
      </c>
      <c r="D430" s="8">
        <v>1130.0999999999999</v>
      </c>
      <c r="E430">
        <v>239</v>
      </c>
    </row>
    <row r="431" spans="1:5" x14ac:dyDescent="0.35">
      <c r="A431" t="s">
        <v>18</v>
      </c>
      <c r="B431" s="7" t="s">
        <v>88</v>
      </c>
      <c r="C431">
        <v>335</v>
      </c>
      <c r="D431" s="8">
        <v>1282.44</v>
      </c>
      <c r="E431">
        <v>237</v>
      </c>
    </row>
    <row r="432" spans="1:5" x14ac:dyDescent="0.35">
      <c r="A432" t="s">
        <v>18</v>
      </c>
      <c r="B432" s="7" t="s">
        <v>89</v>
      </c>
      <c r="C432">
        <v>340</v>
      </c>
      <c r="D432" s="8">
        <v>1108.2</v>
      </c>
      <c r="E432">
        <v>236</v>
      </c>
    </row>
    <row r="433" spans="1:5" x14ac:dyDescent="0.35">
      <c r="A433" t="s">
        <v>18</v>
      </c>
      <c r="B433" s="7" t="s">
        <v>90</v>
      </c>
      <c r="C433">
        <v>344</v>
      </c>
      <c r="D433" s="8">
        <v>1075.5999999999999</v>
      </c>
      <c r="E433">
        <v>236</v>
      </c>
    </row>
    <row r="434" spans="1:5" x14ac:dyDescent="0.35">
      <c r="A434" t="s">
        <v>18</v>
      </c>
      <c r="B434" s="7" t="s">
        <v>91</v>
      </c>
      <c r="C434">
        <v>375</v>
      </c>
      <c r="D434" s="8">
        <v>1146.1500000000001</v>
      </c>
      <c r="E434">
        <v>257</v>
      </c>
    </row>
    <row r="435" spans="1:5" x14ac:dyDescent="0.35">
      <c r="A435" t="s">
        <v>18</v>
      </c>
      <c r="B435" s="7" t="s">
        <v>92</v>
      </c>
      <c r="C435">
        <v>405</v>
      </c>
      <c r="D435" s="8">
        <v>1340.65</v>
      </c>
      <c r="E435">
        <v>262</v>
      </c>
    </row>
    <row r="436" spans="1:5" x14ac:dyDescent="0.35">
      <c r="A436" t="s">
        <v>18</v>
      </c>
      <c r="B436" s="7" t="s">
        <v>93</v>
      </c>
      <c r="C436">
        <v>281</v>
      </c>
      <c r="D436" s="8">
        <v>966.28</v>
      </c>
      <c r="E436">
        <v>219</v>
      </c>
    </row>
    <row r="437" spans="1:5" x14ac:dyDescent="0.35">
      <c r="A437" t="s">
        <v>18</v>
      </c>
      <c r="B437" s="7" t="s">
        <v>94</v>
      </c>
      <c r="C437">
        <v>285</v>
      </c>
      <c r="D437" s="8">
        <v>915.3</v>
      </c>
      <c r="E437">
        <v>209</v>
      </c>
    </row>
    <row r="438" spans="1:5" x14ac:dyDescent="0.35">
      <c r="A438" t="s">
        <v>18</v>
      </c>
      <c r="B438" s="7" t="s">
        <v>95</v>
      </c>
      <c r="C438">
        <v>328</v>
      </c>
      <c r="D438" s="8">
        <v>1094.55</v>
      </c>
      <c r="E438">
        <v>240</v>
      </c>
    </row>
    <row r="439" spans="1:5" x14ac:dyDescent="0.35">
      <c r="A439" t="s">
        <v>18</v>
      </c>
      <c r="B439" s="7" t="s">
        <v>96</v>
      </c>
      <c r="C439">
        <v>298</v>
      </c>
      <c r="D439" s="8">
        <v>952.85</v>
      </c>
      <c r="E439">
        <v>221</v>
      </c>
    </row>
    <row r="440" spans="1:5" x14ac:dyDescent="0.35">
      <c r="A440" t="s">
        <v>18</v>
      </c>
      <c r="B440" s="7" t="s">
        <v>97</v>
      </c>
      <c r="C440">
        <v>311</v>
      </c>
      <c r="D440" s="8">
        <v>1037.53</v>
      </c>
      <c r="E440">
        <v>231</v>
      </c>
    </row>
    <row r="441" spans="1:5" x14ac:dyDescent="0.35">
      <c r="A441" t="s">
        <v>18</v>
      </c>
      <c r="B441" s="7" t="s">
        <v>98</v>
      </c>
      <c r="C441">
        <v>256</v>
      </c>
      <c r="D441" s="8">
        <v>766.35</v>
      </c>
      <c r="E441">
        <v>190</v>
      </c>
    </row>
    <row r="442" spans="1:5" x14ac:dyDescent="0.35">
      <c r="A442" t="s">
        <v>18</v>
      </c>
      <c r="B442" s="7" t="s">
        <v>99</v>
      </c>
      <c r="C442">
        <v>352</v>
      </c>
      <c r="D442" s="8">
        <v>1035.0999999999999</v>
      </c>
      <c r="E442">
        <v>209</v>
      </c>
    </row>
    <row r="443" spans="1:5" x14ac:dyDescent="0.35">
      <c r="A443" t="s">
        <v>18</v>
      </c>
      <c r="B443" s="7" t="s">
        <v>100</v>
      </c>
      <c r="C443">
        <v>319</v>
      </c>
      <c r="D443" s="8">
        <v>1057.25</v>
      </c>
      <c r="E443">
        <v>186</v>
      </c>
    </row>
    <row r="444" spans="1:5" x14ac:dyDescent="0.35">
      <c r="A444" t="s">
        <v>18</v>
      </c>
      <c r="B444" s="7" t="s">
        <v>101</v>
      </c>
      <c r="C444">
        <v>370</v>
      </c>
      <c r="D444" s="8">
        <v>1235.6600000000001</v>
      </c>
      <c r="E444">
        <v>210</v>
      </c>
    </row>
    <row r="445" spans="1:5" x14ac:dyDescent="0.35">
      <c r="A445" t="s">
        <v>18</v>
      </c>
      <c r="B445" s="7" t="s">
        <v>102</v>
      </c>
      <c r="C445">
        <v>387</v>
      </c>
      <c r="D445" s="8">
        <v>1158.25</v>
      </c>
      <c r="E445">
        <v>223</v>
      </c>
    </row>
    <row r="446" spans="1:5" x14ac:dyDescent="0.35">
      <c r="A446" t="s">
        <v>18</v>
      </c>
      <c r="B446" s="7" t="s">
        <v>103</v>
      </c>
      <c r="C446">
        <v>456</v>
      </c>
      <c r="D446" s="8">
        <v>1447.1</v>
      </c>
      <c r="E446">
        <v>259</v>
      </c>
    </row>
    <row r="447" spans="1:5" x14ac:dyDescent="0.35">
      <c r="A447" t="s">
        <v>18</v>
      </c>
      <c r="B447" s="7" t="s">
        <v>104</v>
      </c>
      <c r="C447">
        <v>416</v>
      </c>
      <c r="D447" s="8">
        <v>1348.9</v>
      </c>
      <c r="E447">
        <v>238</v>
      </c>
    </row>
    <row r="448" spans="1:5" x14ac:dyDescent="0.35">
      <c r="A448" t="s">
        <v>18</v>
      </c>
      <c r="B448" s="7" t="s">
        <v>105</v>
      </c>
      <c r="C448">
        <v>360</v>
      </c>
      <c r="D448" s="8">
        <v>1130.55</v>
      </c>
      <c r="E448">
        <v>195</v>
      </c>
    </row>
    <row r="449" spans="1:5" x14ac:dyDescent="0.35">
      <c r="A449" t="s">
        <v>18</v>
      </c>
      <c r="B449" s="7" t="s">
        <v>106</v>
      </c>
      <c r="C449">
        <v>437</v>
      </c>
      <c r="D449" s="8">
        <v>1489.75</v>
      </c>
      <c r="E449">
        <v>252</v>
      </c>
    </row>
    <row r="450" spans="1:5" x14ac:dyDescent="0.35">
      <c r="A450" t="s">
        <v>18</v>
      </c>
      <c r="B450" s="7" t="s">
        <v>107</v>
      </c>
      <c r="C450">
        <v>305</v>
      </c>
      <c r="D450" s="8">
        <v>945.25</v>
      </c>
      <c r="E450">
        <v>207</v>
      </c>
    </row>
    <row r="451" spans="1:5" x14ac:dyDescent="0.35">
      <c r="A451" t="s">
        <v>18</v>
      </c>
      <c r="B451" s="7" t="s">
        <v>108</v>
      </c>
      <c r="C451">
        <v>274</v>
      </c>
      <c r="D451" s="8">
        <v>840.3</v>
      </c>
      <c r="E451">
        <v>194</v>
      </c>
    </row>
    <row r="452" spans="1:5" x14ac:dyDescent="0.35">
      <c r="A452" t="s">
        <v>18</v>
      </c>
      <c r="B452" s="7" t="s">
        <v>109</v>
      </c>
      <c r="C452">
        <v>319</v>
      </c>
      <c r="D452" s="8">
        <v>966.79</v>
      </c>
      <c r="E452">
        <v>210</v>
      </c>
    </row>
    <row r="453" spans="1:5" x14ac:dyDescent="0.35">
      <c r="A453" t="s">
        <v>18</v>
      </c>
      <c r="B453" s="7" t="s">
        <v>110</v>
      </c>
      <c r="C453">
        <v>304</v>
      </c>
      <c r="D453" s="8">
        <v>1049.53</v>
      </c>
      <c r="E453">
        <v>202</v>
      </c>
    </row>
    <row r="454" spans="1:5" x14ac:dyDescent="0.35">
      <c r="A454" t="s">
        <v>18</v>
      </c>
      <c r="B454" s="7" t="s">
        <v>111</v>
      </c>
      <c r="C454">
        <v>375</v>
      </c>
      <c r="D454" s="8">
        <v>1168.05</v>
      </c>
      <c r="E454">
        <v>267</v>
      </c>
    </row>
    <row r="455" spans="1:5" x14ac:dyDescent="0.35">
      <c r="A455" t="s">
        <v>18</v>
      </c>
      <c r="B455" s="7" t="s">
        <v>112</v>
      </c>
      <c r="C455">
        <v>327</v>
      </c>
      <c r="D455" s="8">
        <v>1002.2</v>
      </c>
      <c r="E455">
        <v>233</v>
      </c>
    </row>
    <row r="456" spans="1:5" x14ac:dyDescent="0.35">
      <c r="A456" t="s">
        <v>18</v>
      </c>
      <c r="B456" s="7" t="s">
        <v>113</v>
      </c>
      <c r="C456">
        <v>366</v>
      </c>
      <c r="D456" s="8">
        <v>1127.55</v>
      </c>
      <c r="E456">
        <v>259</v>
      </c>
    </row>
    <row r="457" spans="1:5" x14ac:dyDescent="0.35">
      <c r="A457" t="s">
        <v>18</v>
      </c>
      <c r="B457" s="7" t="s">
        <v>114</v>
      </c>
      <c r="C457">
        <v>360</v>
      </c>
      <c r="D457" s="8">
        <v>1092</v>
      </c>
      <c r="E457">
        <v>241</v>
      </c>
    </row>
    <row r="458" spans="1:5" x14ac:dyDescent="0.35">
      <c r="A458" t="s">
        <v>18</v>
      </c>
      <c r="B458" s="7" t="s">
        <v>115</v>
      </c>
      <c r="C458">
        <v>380</v>
      </c>
      <c r="D458" s="8">
        <v>1202.25</v>
      </c>
      <c r="E458">
        <v>274</v>
      </c>
    </row>
    <row r="459" spans="1:5" x14ac:dyDescent="0.35">
      <c r="A459" t="s">
        <v>18</v>
      </c>
      <c r="B459" s="7" t="s">
        <v>116</v>
      </c>
      <c r="C459">
        <v>346</v>
      </c>
      <c r="D459" s="8">
        <v>1080.25</v>
      </c>
      <c r="E459">
        <v>245</v>
      </c>
    </row>
    <row r="460" spans="1:5" x14ac:dyDescent="0.35">
      <c r="A460" t="s">
        <v>18</v>
      </c>
      <c r="B460" s="7" t="s">
        <v>117</v>
      </c>
      <c r="C460">
        <v>280</v>
      </c>
      <c r="D460" s="8">
        <v>1014.75</v>
      </c>
      <c r="E460">
        <v>202</v>
      </c>
    </row>
    <row r="461" spans="1:5" x14ac:dyDescent="0.35">
      <c r="A461" t="s">
        <v>18</v>
      </c>
      <c r="B461" s="7" t="s">
        <v>118</v>
      </c>
      <c r="C461">
        <v>440</v>
      </c>
      <c r="D461" s="8">
        <v>1513.35</v>
      </c>
      <c r="E461">
        <v>302</v>
      </c>
    </row>
    <row r="462" spans="1:5" x14ac:dyDescent="0.35">
      <c r="A462" t="s">
        <v>18</v>
      </c>
      <c r="B462" s="7" t="s">
        <v>119</v>
      </c>
      <c r="C462">
        <v>377</v>
      </c>
      <c r="D462" s="8">
        <v>1465.3</v>
      </c>
      <c r="E462">
        <v>264</v>
      </c>
    </row>
    <row r="463" spans="1:5" x14ac:dyDescent="0.35">
      <c r="A463" t="s">
        <v>18</v>
      </c>
      <c r="B463" s="7" t="s">
        <v>120</v>
      </c>
      <c r="C463">
        <v>445</v>
      </c>
      <c r="D463" s="8">
        <v>1453.8</v>
      </c>
      <c r="E463">
        <v>314</v>
      </c>
    </row>
    <row r="464" spans="1:5" x14ac:dyDescent="0.35">
      <c r="A464" t="s">
        <v>18</v>
      </c>
      <c r="B464" s="7" t="s">
        <v>121</v>
      </c>
      <c r="C464">
        <v>406</v>
      </c>
      <c r="D464" s="8">
        <v>1195.83</v>
      </c>
      <c r="E464">
        <v>282</v>
      </c>
    </row>
    <row r="465" spans="1:5" x14ac:dyDescent="0.35">
      <c r="A465" t="s">
        <v>18</v>
      </c>
      <c r="B465" s="7" t="s">
        <v>122</v>
      </c>
      <c r="C465">
        <v>476</v>
      </c>
      <c r="D465" s="8">
        <v>1512.55</v>
      </c>
      <c r="E465">
        <v>327</v>
      </c>
    </row>
    <row r="466" spans="1:5" x14ac:dyDescent="0.35">
      <c r="A466" t="s">
        <v>18</v>
      </c>
      <c r="B466" s="7" t="s">
        <v>123</v>
      </c>
      <c r="C466">
        <v>394</v>
      </c>
      <c r="D466" s="8">
        <v>1247.43</v>
      </c>
      <c r="E466">
        <v>257</v>
      </c>
    </row>
    <row r="467" spans="1:5" x14ac:dyDescent="0.35">
      <c r="A467" t="s">
        <v>18</v>
      </c>
      <c r="B467" s="7" t="s">
        <v>124</v>
      </c>
      <c r="C467">
        <v>309</v>
      </c>
      <c r="D467" s="8">
        <v>1116.96</v>
      </c>
      <c r="E467">
        <v>240</v>
      </c>
    </row>
    <row r="468" spans="1:5" x14ac:dyDescent="0.35">
      <c r="A468" t="s">
        <v>18</v>
      </c>
      <c r="B468" s="7" t="s">
        <v>125</v>
      </c>
      <c r="C468">
        <v>403</v>
      </c>
      <c r="D468" s="8">
        <v>1270.05</v>
      </c>
      <c r="E468">
        <v>285</v>
      </c>
    </row>
    <row r="469" spans="1:5" x14ac:dyDescent="0.35">
      <c r="A469" t="s">
        <v>18</v>
      </c>
      <c r="B469" s="7" t="s">
        <v>126</v>
      </c>
      <c r="C469">
        <v>426</v>
      </c>
      <c r="D469" s="8">
        <v>1462.88</v>
      </c>
      <c r="E469">
        <v>327</v>
      </c>
    </row>
    <row r="470" spans="1:5" x14ac:dyDescent="0.35">
      <c r="A470" t="s">
        <v>18</v>
      </c>
      <c r="B470" s="7" t="s">
        <v>127</v>
      </c>
      <c r="C470">
        <v>369</v>
      </c>
      <c r="D470" s="8">
        <v>1150.05</v>
      </c>
      <c r="E470">
        <v>275</v>
      </c>
    </row>
    <row r="471" spans="1:5" x14ac:dyDescent="0.35">
      <c r="A471" t="s">
        <v>18</v>
      </c>
      <c r="B471" s="7" t="s">
        <v>128</v>
      </c>
      <c r="C471">
        <v>352</v>
      </c>
      <c r="D471" s="8">
        <v>1164.68</v>
      </c>
      <c r="E471">
        <v>259</v>
      </c>
    </row>
    <row r="472" spans="1:5" x14ac:dyDescent="0.35">
      <c r="A472" t="s">
        <v>18</v>
      </c>
      <c r="B472" s="7" t="s">
        <v>129</v>
      </c>
      <c r="C472">
        <v>364</v>
      </c>
      <c r="D472" s="8">
        <v>1130.2</v>
      </c>
      <c r="E472">
        <v>263</v>
      </c>
    </row>
    <row r="473" spans="1:5" x14ac:dyDescent="0.35">
      <c r="A473" t="s">
        <v>18</v>
      </c>
      <c r="B473" s="7" t="s">
        <v>130</v>
      </c>
      <c r="C473">
        <v>461</v>
      </c>
      <c r="D473" s="8">
        <v>1443.43</v>
      </c>
      <c r="E473">
        <v>279</v>
      </c>
    </row>
    <row r="474" spans="1:5" x14ac:dyDescent="0.35">
      <c r="A474" t="s">
        <v>18</v>
      </c>
      <c r="B474" s="7" t="s">
        <v>131</v>
      </c>
      <c r="C474">
        <v>435</v>
      </c>
      <c r="D474" s="8">
        <v>1381.65</v>
      </c>
      <c r="E474">
        <v>256</v>
      </c>
    </row>
    <row r="475" spans="1:5" x14ac:dyDescent="0.35">
      <c r="A475" t="s">
        <v>18</v>
      </c>
      <c r="B475" s="7" t="s">
        <v>132</v>
      </c>
      <c r="C475">
        <v>509</v>
      </c>
      <c r="D475" s="8">
        <v>1634.18</v>
      </c>
      <c r="E475">
        <v>294</v>
      </c>
    </row>
    <row r="476" spans="1:5" x14ac:dyDescent="0.35">
      <c r="A476" t="s">
        <v>18</v>
      </c>
      <c r="B476" s="7" t="s">
        <v>133</v>
      </c>
      <c r="C476">
        <v>482</v>
      </c>
      <c r="D476" s="8">
        <v>1522.76</v>
      </c>
      <c r="E476">
        <v>275</v>
      </c>
    </row>
    <row r="477" spans="1:5" x14ac:dyDescent="0.35">
      <c r="A477" t="s">
        <v>18</v>
      </c>
      <c r="B477" s="7" t="s">
        <v>134</v>
      </c>
      <c r="C477">
        <v>504</v>
      </c>
      <c r="D477" s="8">
        <v>1558.9</v>
      </c>
      <c r="E477">
        <v>298</v>
      </c>
    </row>
    <row r="478" spans="1:5" x14ac:dyDescent="0.35">
      <c r="A478" t="s">
        <v>18</v>
      </c>
      <c r="B478" s="7" t="s">
        <v>135</v>
      </c>
      <c r="C478">
        <v>529</v>
      </c>
      <c r="D478" s="8">
        <v>1664.35</v>
      </c>
      <c r="E478">
        <v>296</v>
      </c>
    </row>
    <row r="479" spans="1:5" x14ac:dyDescent="0.35">
      <c r="A479" t="s">
        <v>18</v>
      </c>
      <c r="B479" s="7" t="s">
        <v>136</v>
      </c>
      <c r="C479">
        <v>518</v>
      </c>
      <c r="D479" s="8">
        <v>1684.45</v>
      </c>
      <c r="E479">
        <v>290</v>
      </c>
    </row>
    <row r="480" spans="1:5" x14ac:dyDescent="0.35">
      <c r="A480" t="s">
        <v>18</v>
      </c>
      <c r="B480" s="7" t="s">
        <v>137</v>
      </c>
      <c r="C480">
        <v>554</v>
      </c>
      <c r="D480" s="8">
        <v>1686.1</v>
      </c>
      <c r="E480">
        <v>318</v>
      </c>
    </row>
    <row r="481" spans="1:5" x14ac:dyDescent="0.35">
      <c r="A481" t="s">
        <v>18</v>
      </c>
      <c r="B481" s="7" t="s">
        <v>138</v>
      </c>
      <c r="C481">
        <v>369</v>
      </c>
      <c r="D481" s="8">
        <v>1111.1500000000001</v>
      </c>
      <c r="E481">
        <v>251</v>
      </c>
    </row>
    <row r="482" spans="1:5" x14ac:dyDescent="0.35">
      <c r="A482" t="s">
        <v>18</v>
      </c>
      <c r="B482" s="7" t="s">
        <v>139</v>
      </c>
      <c r="C482">
        <v>309</v>
      </c>
      <c r="D482" s="8">
        <v>936.9</v>
      </c>
      <c r="E482">
        <v>223</v>
      </c>
    </row>
    <row r="483" spans="1:5" x14ac:dyDescent="0.35">
      <c r="A483" t="s">
        <v>18</v>
      </c>
      <c r="B483" s="7" t="s">
        <v>140</v>
      </c>
      <c r="C483">
        <v>384</v>
      </c>
      <c r="D483" s="8">
        <v>1165.33</v>
      </c>
      <c r="E483">
        <v>254</v>
      </c>
    </row>
    <row r="484" spans="1:5" x14ac:dyDescent="0.35">
      <c r="A484" t="s">
        <v>18</v>
      </c>
      <c r="B484" s="7" t="s">
        <v>141</v>
      </c>
      <c r="C484">
        <v>470</v>
      </c>
      <c r="D484" s="8">
        <v>1475.4</v>
      </c>
      <c r="E484">
        <v>327</v>
      </c>
    </row>
    <row r="485" spans="1:5" x14ac:dyDescent="0.35">
      <c r="A485" t="s">
        <v>18</v>
      </c>
      <c r="B485" s="7" t="s">
        <v>142</v>
      </c>
      <c r="C485">
        <v>414</v>
      </c>
      <c r="D485" s="8">
        <v>1276.5</v>
      </c>
      <c r="E485">
        <v>289</v>
      </c>
    </row>
    <row r="486" spans="1:5" x14ac:dyDescent="0.35">
      <c r="A486" t="s">
        <v>18</v>
      </c>
      <c r="B486" s="7" t="s">
        <v>143</v>
      </c>
      <c r="C486">
        <v>453</v>
      </c>
      <c r="D486" s="8">
        <v>1401.65</v>
      </c>
      <c r="E486">
        <v>317</v>
      </c>
    </row>
    <row r="487" spans="1:5" x14ac:dyDescent="0.35">
      <c r="A487" t="s">
        <v>18</v>
      </c>
      <c r="B487" s="7" t="s">
        <v>144</v>
      </c>
      <c r="C487">
        <v>469</v>
      </c>
      <c r="D487" s="8">
        <v>1431.3</v>
      </c>
      <c r="E487">
        <v>321</v>
      </c>
    </row>
    <row r="488" spans="1:5" x14ac:dyDescent="0.35">
      <c r="A488" t="s">
        <v>18</v>
      </c>
      <c r="B488" s="7" t="s">
        <v>145</v>
      </c>
      <c r="C488">
        <v>490</v>
      </c>
      <c r="D488" s="8">
        <v>1528.65</v>
      </c>
      <c r="E488">
        <v>353</v>
      </c>
    </row>
    <row r="489" spans="1:5" x14ac:dyDescent="0.35">
      <c r="A489" t="s">
        <v>18</v>
      </c>
      <c r="B489" s="7" t="s">
        <v>146</v>
      </c>
      <c r="C489">
        <v>472</v>
      </c>
      <c r="D489" s="8">
        <v>1479</v>
      </c>
      <c r="E489">
        <v>337</v>
      </c>
    </row>
    <row r="490" spans="1:5" x14ac:dyDescent="0.35">
      <c r="A490" t="s">
        <v>18</v>
      </c>
      <c r="B490" s="7" t="s">
        <v>147</v>
      </c>
      <c r="C490">
        <v>357</v>
      </c>
      <c r="D490" s="8">
        <v>1168.55</v>
      </c>
      <c r="E490">
        <v>251</v>
      </c>
    </row>
    <row r="491" spans="1:5" x14ac:dyDescent="0.35">
      <c r="A491" t="s">
        <v>18</v>
      </c>
      <c r="B491" s="7" t="s">
        <v>148</v>
      </c>
      <c r="C491">
        <v>588</v>
      </c>
      <c r="D491" s="8">
        <v>1869.15</v>
      </c>
      <c r="E491">
        <v>399</v>
      </c>
    </row>
    <row r="492" spans="1:5" x14ac:dyDescent="0.35">
      <c r="A492" t="s">
        <v>18</v>
      </c>
      <c r="B492" s="7" t="s">
        <v>149</v>
      </c>
      <c r="C492">
        <v>480</v>
      </c>
      <c r="D492" s="8">
        <v>1822.66</v>
      </c>
      <c r="E492">
        <v>351</v>
      </c>
    </row>
    <row r="493" spans="1:5" x14ac:dyDescent="0.35">
      <c r="A493" t="s">
        <v>18</v>
      </c>
      <c r="B493" s="7" t="s">
        <v>150</v>
      </c>
      <c r="C493">
        <v>507</v>
      </c>
      <c r="D493" s="8">
        <v>1596.8</v>
      </c>
      <c r="E493">
        <v>361</v>
      </c>
    </row>
    <row r="494" spans="1:5" x14ac:dyDescent="0.35">
      <c r="A494" t="s">
        <v>18</v>
      </c>
      <c r="B494" s="7" t="s">
        <v>151</v>
      </c>
      <c r="C494">
        <v>507</v>
      </c>
      <c r="D494" s="8">
        <v>1549.75</v>
      </c>
      <c r="E494">
        <v>350</v>
      </c>
    </row>
    <row r="495" spans="1:5" x14ac:dyDescent="0.35">
      <c r="A495" t="s">
        <v>18</v>
      </c>
      <c r="B495" s="7" t="s">
        <v>152</v>
      </c>
      <c r="C495">
        <v>548</v>
      </c>
      <c r="D495" s="8">
        <v>1609.65</v>
      </c>
      <c r="E495">
        <v>375</v>
      </c>
    </row>
    <row r="496" spans="1:5" x14ac:dyDescent="0.35">
      <c r="A496" t="s">
        <v>18</v>
      </c>
      <c r="B496" s="7" t="s">
        <v>153</v>
      </c>
      <c r="C496">
        <v>594</v>
      </c>
      <c r="D496" s="8">
        <v>1899.08</v>
      </c>
      <c r="E496">
        <v>388</v>
      </c>
    </row>
    <row r="497" spans="1:5" x14ac:dyDescent="0.35">
      <c r="A497" t="s">
        <v>18</v>
      </c>
      <c r="B497" s="7" t="s">
        <v>154</v>
      </c>
      <c r="C497">
        <v>461</v>
      </c>
      <c r="D497" s="8">
        <v>1590.94</v>
      </c>
      <c r="E497">
        <v>354</v>
      </c>
    </row>
    <row r="498" spans="1:5" x14ac:dyDescent="0.35">
      <c r="A498" t="s">
        <v>18</v>
      </c>
      <c r="B498" s="7" t="s">
        <v>155</v>
      </c>
      <c r="C498">
        <v>500</v>
      </c>
      <c r="D498" s="8">
        <v>1611.45</v>
      </c>
      <c r="E498">
        <v>367</v>
      </c>
    </row>
    <row r="499" spans="1:5" x14ac:dyDescent="0.35">
      <c r="A499" t="s">
        <v>18</v>
      </c>
      <c r="B499" s="7" t="s">
        <v>156</v>
      </c>
      <c r="C499">
        <v>493</v>
      </c>
      <c r="D499" s="8">
        <v>1684.2</v>
      </c>
      <c r="E499">
        <v>370</v>
      </c>
    </row>
    <row r="500" spans="1:5" x14ac:dyDescent="0.35">
      <c r="A500" t="s">
        <v>18</v>
      </c>
      <c r="B500" s="7" t="s">
        <v>157</v>
      </c>
      <c r="C500">
        <v>510</v>
      </c>
      <c r="D500" s="8">
        <v>1684.15</v>
      </c>
      <c r="E500">
        <v>369</v>
      </c>
    </row>
    <row r="501" spans="1:5" x14ac:dyDescent="0.35">
      <c r="A501" t="s">
        <v>18</v>
      </c>
      <c r="B501" s="7" t="s">
        <v>158</v>
      </c>
      <c r="C501">
        <v>510</v>
      </c>
      <c r="D501" s="8">
        <v>1668.2</v>
      </c>
      <c r="E501">
        <v>376</v>
      </c>
    </row>
    <row r="502" spans="1:5" x14ac:dyDescent="0.35">
      <c r="A502" t="s">
        <v>18</v>
      </c>
      <c r="B502" s="7" t="s">
        <v>159</v>
      </c>
      <c r="C502">
        <v>497</v>
      </c>
      <c r="D502" s="8">
        <v>1564.35</v>
      </c>
      <c r="E502">
        <v>361</v>
      </c>
    </row>
    <row r="503" spans="1:5" x14ac:dyDescent="0.35">
      <c r="A503" t="s">
        <v>18</v>
      </c>
      <c r="B503" s="7" t="s">
        <v>160</v>
      </c>
      <c r="C503">
        <v>602</v>
      </c>
      <c r="D503" s="8">
        <v>1837.4</v>
      </c>
      <c r="E503">
        <v>357</v>
      </c>
    </row>
    <row r="504" spans="1:5" x14ac:dyDescent="0.35">
      <c r="A504" t="s">
        <v>18</v>
      </c>
      <c r="B504" s="7" t="s">
        <v>161</v>
      </c>
      <c r="C504">
        <v>544</v>
      </c>
      <c r="D504" s="8">
        <v>1716.95</v>
      </c>
      <c r="E504">
        <v>322</v>
      </c>
    </row>
    <row r="505" spans="1:5" x14ac:dyDescent="0.35">
      <c r="A505" t="s">
        <v>18</v>
      </c>
      <c r="B505" s="7" t="s">
        <v>162</v>
      </c>
      <c r="C505">
        <v>705</v>
      </c>
      <c r="D505" s="8">
        <v>2257.06</v>
      </c>
      <c r="E505">
        <v>407</v>
      </c>
    </row>
    <row r="506" spans="1:5" x14ac:dyDescent="0.35">
      <c r="A506" t="s">
        <v>18</v>
      </c>
      <c r="B506" s="7" t="s">
        <v>163</v>
      </c>
      <c r="C506">
        <v>572</v>
      </c>
      <c r="D506" s="8">
        <v>1753.88</v>
      </c>
      <c r="E506">
        <v>322</v>
      </c>
    </row>
    <row r="507" spans="1:5" x14ac:dyDescent="0.35">
      <c r="A507" t="s">
        <v>18</v>
      </c>
      <c r="B507" s="7" t="s">
        <v>164</v>
      </c>
      <c r="C507">
        <v>633</v>
      </c>
      <c r="D507" s="8">
        <v>1968.6</v>
      </c>
      <c r="E507">
        <v>368</v>
      </c>
    </row>
    <row r="508" spans="1:5" x14ac:dyDescent="0.35">
      <c r="A508" t="s">
        <v>18</v>
      </c>
      <c r="B508" s="7" t="s">
        <v>165</v>
      </c>
      <c r="C508">
        <v>629</v>
      </c>
      <c r="D508" s="8">
        <v>2005.3</v>
      </c>
      <c r="E508">
        <v>353</v>
      </c>
    </row>
    <row r="509" spans="1:5" x14ac:dyDescent="0.35">
      <c r="A509" t="s">
        <v>18</v>
      </c>
      <c r="B509" s="7" t="s">
        <v>166</v>
      </c>
      <c r="C509">
        <v>619</v>
      </c>
      <c r="D509" s="8">
        <v>1967</v>
      </c>
      <c r="E509">
        <v>343</v>
      </c>
    </row>
    <row r="510" spans="1:5" x14ac:dyDescent="0.35">
      <c r="A510" t="s">
        <v>18</v>
      </c>
      <c r="B510" s="7" t="s">
        <v>167</v>
      </c>
      <c r="C510">
        <v>693</v>
      </c>
      <c r="D510" s="8">
        <v>2242.85</v>
      </c>
      <c r="E510">
        <v>403</v>
      </c>
    </row>
    <row r="511" spans="1:5" x14ac:dyDescent="0.35">
      <c r="A511" t="s">
        <v>18</v>
      </c>
      <c r="B511" s="7" t="s">
        <v>168</v>
      </c>
      <c r="C511">
        <v>467</v>
      </c>
      <c r="D511" s="8">
        <v>1461.05</v>
      </c>
      <c r="E511">
        <v>328</v>
      </c>
    </row>
    <row r="512" spans="1:5" x14ac:dyDescent="0.35">
      <c r="A512" t="s">
        <v>18</v>
      </c>
      <c r="B512" s="7" t="s">
        <v>169</v>
      </c>
      <c r="C512">
        <v>391</v>
      </c>
      <c r="D512" s="8">
        <v>1197.25</v>
      </c>
      <c r="E512">
        <v>286</v>
      </c>
    </row>
    <row r="513" spans="1:5" x14ac:dyDescent="0.35">
      <c r="A513" t="s">
        <v>18</v>
      </c>
      <c r="B513" s="7" t="s">
        <v>170</v>
      </c>
      <c r="C513">
        <v>500</v>
      </c>
      <c r="D513" s="8">
        <v>1732.03</v>
      </c>
      <c r="E513">
        <v>333</v>
      </c>
    </row>
    <row r="514" spans="1:5" x14ac:dyDescent="0.35">
      <c r="A514" t="s">
        <v>18</v>
      </c>
      <c r="B514" s="7" t="s">
        <v>171</v>
      </c>
      <c r="C514">
        <v>500</v>
      </c>
      <c r="D514" s="8">
        <v>1649.27</v>
      </c>
      <c r="E514">
        <v>320</v>
      </c>
    </row>
    <row r="515" spans="1:5" x14ac:dyDescent="0.35">
      <c r="A515" t="s">
        <v>18</v>
      </c>
      <c r="B515" s="7" t="s">
        <v>172</v>
      </c>
      <c r="C515">
        <v>511</v>
      </c>
      <c r="D515" s="8">
        <v>1602.95</v>
      </c>
      <c r="E515">
        <v>350</v>
      </c>
    </row>
    <row r="516" spans="1:5" x14ac:dyDescent="0.35">
      <c r="A516" t="s">
        <v>18</v>
      </c>
      <c r="B516" s="7" t="s">
        <v>173</v>
      </c>
      <c r="C516">
        <v>465</v>
      </c>
      <c r="D516" s="8">
        <v>1439.45</v>
      </c>
      <c r="E516">
        <v>330</v>
      </c>
    </row>
    <row r="517" spans="1:5" x14ac:dyDescent="0.35">
      <c r="A517" t="s">
        <v>18</v>
      </c>
      <c r="B517" s="7" t="s">
        <v>174</v>
      </c>
      <c r="C517">
        <v>516</v>
      </c>
      <c r="D517" s="8">
        <v>1600.35</v>
      </c>
      <c r="E517">
        <v>361</v>
      </c>
    </row>
    <row r="518" spans="1:5" x14ac:dyDescent="0.35">
      <c r="A518" t="s">
        <v>18</v>
      </c>
      <c r="B518" s="7" t="s">
        <v>175</v>
      </c>
      <c r="C518">
        <v>518</v>
      </c>
      <c r="D518" s="8">
        <v>1595.35</v>
      </c>
      <c r="E518">
        <v>351</v>
      </c>
    </row>
    <row r="519" spans="1:5" x14ac:dyDescent="0.35">
      <c r="A519" t="s">
        <v>18</v>
      </c>
      <c r="B519" s="7" t="s">
        <v>176</v>
      </c>
      <c r="C519">
        <v>487</v>
      </c>
      <c r="D519" s="8">
        <v>1537</v>
      </c>
      <c r="E519">
        <v>348</v>
      </c>
    </row>
    <row r="520" spans="1:5" x14ac:dyDescent="0.35">
      <c r="A520" t="s">
        <v>18</v>
      </c>
      <c r="B520" s="7" t="s">
        <v>177</v>
      </c>
      <c r="C520">
        <v>515</v>
      </c>
      <c r="D520" s="8">
        <v>1590.4</v>
      </c>
      <c r="E520">
        <v>366</v>
      </c>
    </row>
    <row r="521" spans="1:5" x14ac:dyDescent="0.35">
      <c r="A521" t="s">
        <v>18</v>
      </c>
      <c r="B521" s="7" t="s">
        <v>178</v>
      </c>
      <c r="C521">
        <v>390</v>
      </c>
      <c r="D521" s="8">
        <v>1282.05</v>
      </c>
      <c r="E521">
        <v>275</v>
      </c>
    </row>
    <row r="522" spans="1:5" x14ac:dyDescent="0.35">
      <c r="A522" t="s">
        <v>18</v>
      </c>
      <c r="B522" s="7" t="s">
        <v>179</v>
      </c>
      <c r="C522">
        <v>591</v>
      </c>
      <c r="D522" s="8">
        <v>1954.8</v>
      </c>
      <c r="E522">
        <v>407</v>
      </c>
    </row>
    <row r="523" spans="1:5" x14ac:dyDescent="0.35">
      <c r="A523" t="s">
        <v>18</v>
      </c>
      <c r="B523" s="7" t="s">
        <v>180</v>
      </c>
      <c r="C523">
        <v>556</v>
      </c>
      <c r="D523" s="8">
        <v>2159.08</v>
      </c>
      <c r="E523">
        <v>392</v>
      </c>
    </row>
    <row r="524" spans="1:5" x14ac:dyDescent="0.35">
      <c r="A524" t="s">
        <v>18</v>
      </c>
      <c r="B524" s="7" t="s">
        <v>181</v>
      </c>
      <c r="C524">
        <v>558</v>
      </c>
      <c r="D524" s="8">
        <v>1886.6</v>
      </c>
      <c r="E524">
        <v>396</v>
      </c>
    </row>
    <row r="525" spans="1:5" x14ac:dyDescent="0.35">
      <c r="A525" t="s">
        <v>18</v>
      </c>
      <c r="B525" s="7" t="s">
        <v>182</v>
      </c>
      <c r="C525">
        <v>543</v>
      </c>
      <c r="D525" s="8">
        <v>1712.43</v>
      </c>
      <c r="E525">
        <v>385</v>
      </c>
    </row>
    <row r="526" spans="1:5" x14ac:dyDescent="0.35">
      <c r="A526" t="s">
        <v>18</v>
      </c>
      <c r="B526" s="7" t="s">
        <v>183</v>
      </c>
      <c r="C526">
        <v>636</v>
      </c>
      <c r="D526" s="8">
        <v>1977.5</v>
      </c>
      <c r="E526">
        <v>436</v>
      </c>
    </row>
    <row r="527" spans="1:5" x14ac:dyDescent="0.35">
      <c r="A527" t="s">
        <v>18</v>
      </c>
      <c r="B527" s="7" t="s">
        <v>184</v>
      </c>
      <c r="C527">
        <v>689</v>
      </c>
      <c r="D527" s="8">
        <v>2215.11</v>
      </c>
      <c r="E527">
        <v>447</v>
      </c>
    </row>
    <row r="528" spans="1:5" x14ac:dyDescent="0.35">
      <c r="A528" t="s">
        <v>18</v>
      </c>
      <c r="B528" s="7" t="s">
        <v>185</v>
      </c>
      <c r="C528">
        <v>511</v>
      </c>
      <c r="D528" s="8">
        <v>1751.36</v>
      </c>
      <c r="E528">
        <v>393</v>
      </c>
    </row>
    <row r="529" spans="1:5" x14ac:dyDescent="0.35">
      <c r="A529" t="s">
        <v>18</v>
      </c>
      <c r="B529" s="7" t="s">
        <v>186</v>
      </c>
      <c r="C529">
        <v>518</v>
      </c>
      <c r="D529" s="8">
        <v>1644.85</v>
      </c>
      <c r="E529">
        <v>377</v>
      </c>
    </row>
    <row r="530" spans="1:5" x14ac:dyDescent="0.35">
      <c r="A530" t="s">
        <v>18</v>
      </c>
      <c r="B530" s="7" t="s">
        <v>187</v>
      </c>
      <c r="C530">
        <v>548</v>
      </c>
      <c r="D530" s="8">
        <v>1805.68</v>
      </c>
      <c r="E530">
        <v>412</v>
      </c>
    </row>
    <row r="531" spans="1:5" x14ac:dyDescent="0.35">
      <c r="A531" t="s">
        <v>18</v>
      </c>
      <c r="B531" s="7" t="s">
        <v>188</v>
      </c>
      <c r="C531">
        <v>537</v>
      </c>
      <c r="D531" s="8">
        <v>1724.85</v>
      </c>
      <c r="E531">
        <v>391</v>
      </c>
    </row>
    <row r="532" spans="1:5" x14ac:dyDescent="0.35">
      <c r="A532" t="s">
        <v>18</v>
      </c>
      <c r="B532" s="7" t="s">
        <v>189</v>
      </c>
      <c r="C532">
        <v>537</v>
      </c>
      <c r="D532" s="8">
        <v>1805.28</v>
      </c>
      <c r="E532">
        <v>402</v>
      </c>
    </row>
    <row r="533" spans="1:5" x14ac:dyDescent="0.35">
      <c r="A533" t="s">
        <v>18</v>
      </c>
      <c r="B533" s="7" t="s">
        <v>190</v>
      </c>
      <c r="C533">
        <v>546</v>
      </c>
      <c r="D533" s="8">
        <v>1733.4</v>
      </c>
      <c r="E533">
        <v>400</v>
      </c>
    </row>
    <row r="534" spans="1:5" x14ac:dyDescent="0.35">
      <c r="A534" t="s">
        <v>18</v>
      </c>
      <c r="B534" s="7" t="s">
        <v>191</v>
      </c>
      <c r="C534">
        <v>629</v>
      </c>
      <c r="D534" s="8">
        <v>1929.63</v>
      </c>
      <c r="E534">
        <v>372</v>
      </c>
    </row>
    <row r="535" spans="1:5" x14ac:dyDescent="0.35">
      <c r="A535" t="s">
        <v>18</v>
      </c>
      <c r="B535" s="7" t="s">
        <v>192</v>
      </c>
      <c r="C535">
        <v>586</v>
      </c>
      <c r="D535" s="8">
        <v>1890.3</v>
      </c>
      <c r="E535">
        <v>351</v>
      </c>
    </row>
    <row r="536" spans="1:5" x14ac:dyDescent="0.35">
      <c r="A536" t="s">
        <v>18</v>
      </c>
      <c r="B536" s="7" t="s">
        <v>193</v>
      </c>
      <c r="C536">
        <v>688</v>
      </c>
      <c r="D536" s="8">
        <v>2145.9499999999998</v>
      </c>
      <c r="E536">
        <v>399</v>
      </c>
    </row>
    <row r="537" spans="1:5" x14ac:dyDescent="0.35">
      <c r="A537" t="s">
        <v>18</v>
      </c>
      <c r="B537" s="7" t="s">
        <v>194</v>
      </c>
      <c r="C537">
        <v>631</v>
      </c>
      <c r="D537" s="8">
        <v>1933.38</v>
      </c>
      <c r="E537">
        <v>356</v>
      </c>
    </row>
    <row r="538" spans="1:5" x14ac:dyDescent="0.35">
      <c r="A538" t="s">
        <v>18</v>
      </c>
      <c r="B538" s="7" t="s">
        <v>195</v>
      </c>
      <c r="C538">
        <v>657</v>
      </c>
      <c r="D538" s="8">
        <v>2097.75</v>
      </c>
      <c r="E538">
        <v>383</v>
      </c>
    </row>
    <row r="539" spans="1:5" x14ac:dyDescent="0.35">
      <c r="A539" t="s">
        <v>18</v>
      </c>
      <c r="B539" s="7" t="s">
        <v>196</v>
      </c>
      <c r="C539">
        <v>707</v>
      </c>
      <c r="D539" s="8">
        <v>2244.9499999999998</v>
      </c>
      <c r="E539">
        <v>402</v>
      </c>
    </row>
    <row r="540" spans="1:5" x14ac:dyDescent="0.35">
      <c r="A540" t="s">
        <v>18</v>
      </c>
      <c r="B540" s="7" t="s">
        <v>197</v>
      </c>
      <c r="C540">
        <v>674</v>
      </c>
      <c r="D540" s="8">
        <v>2154.6999999999998</v>
      </c>
      <c r="E540">
        <v>376</v>
      </c>
    </row>
    <row r="541" spans="1:5" x14ac:dyDescent="0.35">
      <c r="A541" t="s">
        <v>18</v>
      </c>
      <c r="B541" s="7" t="s">
        <v>198</v>
      </c>
      <c r="C541">
        <v>770</v>
      </c>
      <c r="D541" s="8">
        <v>2437.4</v>
      </c>
      <c r="E541">
        <v>442</v>
      </c>
    </row>
    <row r="542" spans="1:5" x14ac:dyDescent="0.35">
      <c r="A542" t="s">
        <v>18</v>
      </c>
      <c r="B542" s="7" t="s">
        <v>199</v>
      </c>
      <c r="C542">
        <v>492</v>
      </c>
      <c r="D542" s="8">
        <v>1524.95</v>
      </c>
      <c r="E542">
        <v>343</v>
      </c>
    </row>
    <row r="543" spans="1:5" x14ac:dyDescent="0.35">
      <c r="A543" t="s">
        <v>18</v>
      </c>
      <c r="B543" s="7" t="s">
        <v>200</v>
      </c>
      <c r="C543">
        <v>424</v>
      </c>
      <c r="D543" s="8">
        <v>1299.45</v>
      </c>
      <c r="E543">
        <v>305</v>
      </c>
    </row>
    <row r="544" spans="1:5" x14ac:dyDescent="0.35">
      <c r="A544" t="s">
        <v>18</v>
      </c>
      <c r="B544" s="7" t="s">
        <v>201</v>
      </c>
      <c r="C544">
        <v>535</v>
      </c>
      <c r="D544" s="8">
        <v>1768.74</v>
      </c>
      <c r="E544">
        <v>348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Scatter</vt:lpstr>
      <vt:lpstr>Store Map Data</vt:lpstr>
      <vt:lpstr>Daily by 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Imasha Ilamperuma</cp:lastModifiedBy>
  <cp:revision>1</cp:revision>
  <dcterms:created xsi:type="dcterms:W3CDTF">2026-09-20T16:10:42Z</dcterms:created>
  <dcterms:modified xsi:type="dcterms:W3CDTF">2026-09-20T16:51:57Z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6ac557-f879-4314-a0dd-31320f1fd83e_Enabled">
    <vt:lpwstr>true</vt:lpwstr>
  </property>
  <property fmtid="{D5CDD505-2E9C-101B-9397-08002B2CF9AE}" pid="3" name="MSIP_Label_956ac557-f879-4314-a0dd-31320f1fd83e_SetDate">
    <vt:lpwstr>2026-09-20T16:31:20Z</vt:lpwstr>
  </property>
  <property fmtid="{D5CDD505-2E9C-101B-9397-08002B2CF9AE}" pid="4" name="MSIP_Label_956ac557-f879-4314-a0dd-31320f1fd83e_Method">
    <vt:lpwstr>Standard</vt:lpwstr>
  </property>
  <property fmtid="{D5CDD505-2E9C-101B-9397-08002B2CF9AE}" pid="5" name="MSIP_Label_956ac557-f879-4314-a0dd-31320f1fd83e_Name">
    <vt:lpwstr>956ac557-f879-4314-a0dd-31320f1fd83e</vt:lpwstr>
  </property>
  <property fmtid="{D5CDD505-2E9C-101B-9397-08002B2CF9AE}" pid="6" name="MSIP_Label_956ac557-f879-4314-a0dd-31320f1fd83e_SiteId">
    <vt:lpwstr>97424943-93ed-421f-81ce-f245fd53a717</vt:lpwstr>
  </property>
  <property fmtid="{D5CDD505-2E9C-101B-9397-08002B2CF9AE}" pid="7" name="MSIP_Label_956ac557-f879-4314-a0dd-31320f1fd83e_ActionId">
    <vt:lpwstr>9dd3cf67-ff84-4bb1-9ca9-e769b7ba2c3d</vt:lpwstr>
  </property>
  <property fmtid="{D5CDD505-2E9C-101B-9397-08002B2CF9AE}" pid="8" name="MSIP_Label_956ac557-f879-4314-a0dd-31320f1fd83e_ContentBits">
    <vt:lpwstr>0</vt:lpwstr>
  </property>
  <property fmtid="{D5CDD505-2E9C-101B-9397-08002B2CF9AE}" pid="9" name="MSIP_Label_956ac557-f879-4314-a0dd-31320f1fd83e_Tag">
    <vt:lpwstr>10, 3, 0, 1</vt:lpwstr>
  </property>
</Properties>
</file>