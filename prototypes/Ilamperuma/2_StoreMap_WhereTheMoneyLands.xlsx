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totypes/Ilamperuma/"/>
    </mc:Choice>
  </mc:AlternateContent>
  <xr:revisionPtr revIDLastSave="12" documentId="13_ncr:1_{CFA85865-1D90-4228-9C02-D7CA7A623882}" xr6:coauthVersionLast="47" xr6:coauthVersionMax="47" xr10:uidLastSave="{D6D430E0-399E-4FDD-BB73-407D3C3A48A3}"/>
  <bookViews>
    <workbookView xWindow="-110" yWindow="-110" windowWidth="19420" windowHeight="11500" tabRatio="500" xr2:uid="{00000000-000D-0000-FFFF-FFFF00000000}"/>
  </bookViews>
  <sheets>
    <sheet name="Store Map" sheetId="1" r:id="rId1"/>
    <sheet name="Store Map Data" sheetId="2" r:id="rId2"/>
    <sheet name="Store Map Data (ranked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1" l="1"/>
  <c r="I12" i="1"/>
  <c r="K10" i="1"/>
  <c r="J10" i="1"/>
  <c r="I10" i="1"/>
  <c r="H10" i="1"/>
  <c r="K9" i="1"/>
  <c r="J9" i="1"/>
  <c r="I9" i="1"/>
  <c r="H9" i="1"/>
  <c r="K8" i="1"/>
  <c r="J8" i="1"/>
  <c r="I8" i="1"/>
  <c r="H8" i="1"/>
  <c r="H3" i="1"/>
  <c r="F3" i="1"/>
  <c r="D3" i="1"/>
  <c r="B3" i="1"/>
</calcChain>
</file>

<file path=xl/sharedStrings.xml><?xml version="1.0" encoding="utf-8"?>
<sst xmlns="http://schemas.openxmlformats.org/spreadsheetml/2006/main" count="31" uniqueCount="21">
  <si>
    <t>REVENUE</t>
  </si>
  <si>
    <t>TRANSACTIONS</t>
  </si>
  <si>
    <t>UNITS SOLD</t>
  </si>
  <si>
    <t>PER TRANSACTION</t>
  </si>
  <si>
    <t>Where the money lands — store revenue (bubble = revenue)</t>
  </si>
  <si>
    <t>Store</t>
  </si>
  <si>
    <t>Revenue</t>
  </si>
  <si>
    <t>Transactions</t>
  </si>
  <si>
    <t>% of shown</t>
  </si>
  <si>
    <t>Spread, top to bottom</t>
  </si>
  <si>
    <t>Units per transaction</t>
  </si>
  <si>
    <t>store_id</t>
  </si>
  <si>
    <t>store_location</t>
  </si>
  <si>
    <t>latitude</t>
  </si>
  <si>
    <t>longitude</t>
  </si>
  <si>
    <t>transactions</t>
  </si>
  <si>
    <t>quantity_sold</t>
  </si>
  <si>
    <t>revenue</t>
  </si>
  <si>
    <t>Astoria</t>
  </si>
  <si>
    <t>Lower Manhattan</t>
  </si>
  <si>
    <t>Hell's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</si>
</sst>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9"/>
      <color rgb="FF6B6058"/>
      <name val="Arial"/>
      <family val="2"/>
    </font>
    <font>
      <b/>
      <sz val="16"/>
      <color rgb="FF2A2320"/>
      <name val="Arial"/>
      <family val="2"/>
    </font>
    <font>
      <b/>
      <sz val="13"/>
      <color rgb="FFB06A2C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7EC"/>
        <bgColor rgb="FFFFFFCC"/>
      </patternFill>
    </fill>
  </fills>
  <borders count="2">
    <border>
      <left/>
      <right/>
      <top/>
      <bottom/>
      <diagonal/>
    </border>
    <border>
      <left style="thin">
        <color rgb="FFE6DDCE"/>
      </left>
      <right style="thin">
        <color rgb="FFE6DDCE"/>
      </right>
      <top style="thin">
        <color rgb="FFE6DDCE"/>
      </top>
      <bottom style="thin">
        <color rgb="FFE6DDC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5" fillId="0" borderId="0" xfId="0" applyFont="1"/>
    <xf numFmtId="2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7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637"/>
      <rgbColor rgb="FF800080"/>
      <rgbColor rgb="FF008080"/>
      <rgbColor rgb="FFC0C0C0"/>
      <rgbColor rgb="FF878787"/>
      <rgbColor rgb="FF9999FF"/>
      <rgbColor rgb="FFCE3A36"/>
      <rgbColor rgb="FFFFFFCC"/>
      <rgbColor rgb="FFCCFFFF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DCE"/>
      <rgbColor rgb="FF397BCA"/>
      <rgbColor rgb="FF33CCCC"/>
      <rgbColor rgb="FF9CC745"/>
      <rgbColor rgb="FFFFCC00"/>
      <rgbColor rgb="FFFF9900"/>
      <rgbColor rgb="FFB06A2C"/>
      <rgbColor rgb="FF6B6058"/>
      <rgbColor rgb="FF969696"/>
      <rgbColor rgb="FF003366"/>
      <rgbColor rgb="FF339966"/>
      <rgbColor rgb="FF003300"/>
      <rgbColor rgb="FF333300"/>
      <rgbColor rgb="FF9C2F2C"/>
      <rgbColor rgb="FF993366"/>
      <rgbColor rgb="FF333399"/>
      <rgbColor rgb="FF2A2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store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ubbleChart>
        <c:varyColors val="0"/>
        <c:ser>
          <c:idx val="0"/>
          <c:order val="0"/>
          <c:tx>
            <c:v>Hell's Kitchen</c:v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FC7A326-DE59-4DBE-95EE-60837F0DA4BC}" type="BUBBLESIZE">
                      <a:rPr lang="en-US" b="1">
                        <a:solidFill>
                          <a:schemeClr val="accent1"/>
                        </a:solidFill>
                      </a:rPr>
                      <a:pPr/>
                      <a:t>[BUBBLE SIZE]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905-4819-9526-9BA59D140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'Store Map Data (ranked)'!$D$2</c:f>
              <c:numCache>
                <c:formatCode>General</c:formatCode>
                <c:ptCount val="1"/>
                <c:pt idx="0">
                  <c:v>-73.991799999999998</c:v>
                </c:pt>
              </c:numCache>
            </c:numRef>
          </c:xVal>
          <c:yVal>
            <c:numRef>
              <c:f>'Store Map Data (ranked)'!$C$2</c:f>
              <c:numCache>
                <c:formatCode>General</c:formatCode>
                <c:ptCount val="1"/>
                <c:pt idx="0">
                  <c:v>40.767600000000002</c:v>
                </c:pt>
              </c:numCache>
            </c:numRef>
          </c:yVal>
          <c:bubbleSize>
            <c:numRef>
              <c:f>'Store Map Data (ranked)'!$G$2</c:f>
              <c:numCache>
                <c:formatCode>\$#,##0.00</c:formatCode>
                <c:ptCount val="1"/>
                <c:pt idx="0">
                  <c:v>236511.17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905-4819-9526-9BA59D1407A9}"/>
            </c:ext>
          </c:extLst>
        </c:ser>
        <c:ser>
          <c:idx val="1"/>
          <c:order val="1"/>
          <c:tx>
            <c:v>Astoria</c:v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dLbl>
              <c:idx val="0"/>
              <c:layout>
                <c:manualLayout>
                  <c:x val="-8.5475943077541458E-2"/>
                  <c:y val="0.13141518517986231"/>
                </c:manualLayout>
              </c:layout>
              <c:tx>
                <c:rich>
                  <a:bodyPr/>
                  <a:lstStyle/>
                  <a:p>
                    <a:fld id="{448F71AA-647D-4CC9-95C1-9490F1B3E4FA}" type="BUBBLESIZE">
                      <a:rPr lang="en-US" b="1">
                        <a:solidFill>
                          <a:schemeClr val="accent2"/>
                        </a:solidFill>
                      </a:rPr>
                      <a:pPr/>
                      <a:t>[BUBBLE SIZE]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905-4819-9526-9BA59D140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'Store Map Data (ranked)'!$D$3</c:f>
              <c:numCache>
                <c:formatCode>General</c:formatCode>
                <c:ptCount val="1"/>
                <c:pt idx="0">
                  <c:v>-73.923500000000004</c:v>
                </c:pt>
              </c:numCache>
            </c:numRef>
          </c:xVal>
          <c:yVal>
            <c:numRef>
              <c:f>'Store Map Data (ranked)'!$C$3</c:f>
              <c:numCache>
                <c:formatCode>General</c:formatCode>
                <c:ptCount val="1"/>
                <c:pt idx="0">
                  <c:v>40.764400000000002</c:v>
                </c:pt>
              </c:numCache>
            </c:numRef>
          </c:yVal>
          <c:bubbleSize>
            <c:numRef>
              <c:f>'Store Map Data (ranked)'!$G$3</c:f>
              <c:numCache>
                <c:formatCode>\$#,##0.00</c:formatCode>
                <c:ptCount val="1"/>
                <c:pt idx="0">
                  <c:v>232243.91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E905-4819-9526-9BA59D1407A9}"/>
            </c:ext>
          </c:extLst>
        </c:ser>
        <c:ser>
          <c:idx val="2"/>
          <c:order val="2"/>
          <c:tx>
            <c:v>Lower Manhattan</c:v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E140AE0-2BB9-4A74-8B4D-A3F9B1469416}" type="BUBBLESIZE">
                      <a:rPr lang="en-US" b="1">
                        <a:solidFill>
                          <a:schemeClr val="accent3"/>
                        </a:solidFill>
                      </a:rPr>
                      <a:pPr/>
                      <a:t>[BUBBLE SIZE]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905-4819-9526-9BA59D140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'Store Map Data (ranked)'!$D$4</c:f>
              <c:numCache>
                <c:formatCode>General</c:formatCode>
                <c:ptCount val="1"/>
                <c:pt idx="0">
                  <c:v>-74.006</c:v>
                </c:pt>
              </c:numCache>
            </c:numRef>
          </c:xVal>
          <c:yVal>
            <c:numRef>
              <c:f>'Store Map Data (ranked)'!$C$4</c:f>
              <c:numCache>
                <c:formatCode>General</c:formatCode>
                <c:ptCount val="1"/>
                <c:pt idx="0">
                  <c:v>40.712800000000001</c:v>
                </c:pt>
              </c:numCache>
            </c:numRef>
          </c:yVal>
          <c:bubbleSize>
            <c:numRef>
              <c:f>'Store Map Data (ranked)'!$G$4</c:f>
              <c:numCache>
                <c:formatCode>\$#,##0.00</c:formatCode>
                <c:ptCount val="1"/>
                <c:pt idx="0">
                  <c:v>230057.25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E905-4819-9526-9BA59D14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32175929"/>
        <c:axId val="88624222"/>
      </c:bubbleChart>
      <c:valAx>
        <c:axId val="321759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24222"/>
        <c:crosses val="autoZero"/>
        <c:crossBetween val="midCat"/>
      </c:valAx>
      <c:valAx>
        <c:axId val="88624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Latitude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7592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514349</xdr:colOff>
      <xdr:row>14</xdr:row>
      <xdr:rowOff>151343</xdr:rowOff>
    </xdr:from>
    <xdr:to>
      <xdr:col>12</xdr:col>
      <xdr:colOff>555625</xdr:colOff>
      <xdr:row>43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showGridLines="0" tabSelected="1" zoomScale="72" zoomScaleNormal="100" workbookViewId="0">
      <selection activeCell="P43" sqref="P43"/>
    </sheetView>
  </sheetViews>
  <sheetFormatPr defaultColWidth="8.6328125" defaultRowHeight="14.5" x14ac:dyDescent="0.35"/>
  <cols>
    <col min="2" max="2" width="16" customWidth="1"/>
    <col min="4" max="4" width="16" customWidth="1"/>
    <col min="6" max="6" width="16" customWidth="1"/>
    <col min="8" max="8" width="16" customWidth="1"/>
    <col min="9" max="9" width="12" customWidth="1"/>
    <col min="10" max="10" width="14" customWidth="1"/>
    <col min="11" max="11" width="12" customWidth="1"/>
  </cols>
  <sheetData>
    <row r="2" spans="2:11" ht="15.75" customHeight="1" x14ac:dyDescent="0.35">
      <c r="B2" s="9" t="s">
        <v>0</v>
      </c>
      <c r="C2" s="9"/>
      <c r="D2" s="9" t="s">
        <v>1</v>
      </c>
      <c r="E2" s="9"/>
      <c r="F2" s="9" t="s">
        <v>2</v>
      </c>
      <c r="G2" s="9"/>
      <c r="H2" s="9" t="s">
        <v>3</v>
      </c>
      <c r="I2" s="9"/>
    </row>
    <row r="3" spans="2:11" ht="25.5" customHeight="1" x14ac:dyDescent="0.4">
      <c r="B3" s="10">
        <f>SUM('Store Map Data'!G2:G4)</f>
        <v>698812.33000000007</v>
      </c>
      <c r="C3" s="10"/>
      <c r="D3" s="11">
        <f>SUM('Store Map Data'!E2:E4)</f>
        <v>149116</v>
      </c>
      <c r="E3" s="11"/>
      <c r="F3" s="11">
        <f>SUM('Store Map Data'!F2:F4)</f>
        <v>214470</v>
      </c>
      <c r="G3" s="11"/>
      <c r="H3" s="12">
        <f>SUM('Store Map Data'!G2:G4)/SUM('Store Map Data'!E2:E4)</f>
        <v>4.6863671906435265</v>
      </c>
      <c r="I3" s="12"/>
    </row>
    <row r="5" spans="2:11" ht="16.5" x14ac:dyDescent="0.35">
      <c r="B5" s="1" t="s">
        <v>4</v>
      </c>
    </row>
    <row r="7" spans="2:11" x14ac:dyDescent="0.35">
      <c r="H7" s="2" t="s">
        <v>5</v>
      </c>
      <c r="I7" s="2" t="s">
        <v>6</v>
      </c>
      <c r="J7" s="2" t="s">
        <v>7</v>
      </c>
      <c r="K7" s="2" t="s">
        <v>8</v>
      </c>
    </row>
    <row r="8" spans="2:11" x14ac:dyDescent="0.35">
      <c r="H8" t="str">
        <f>'Store Map Data (ranked)'!B2</f>
        <v>Hell's Kitchen</v>
      </c>
      <c r="I8" s="3">
        <f>'Store Map Data (ranked)'!G2</f>
        <v>236511.17</v>
      </c>
      <c r="J8" s="4">
        <f>'Store Map Data (ranked)'!E2</f>
        <v>50735</v>
      </c>
      <c r="K8" s="5">
        <f>'Store Map Data (ranked)'!G2/SUM('Store Map Data (ranked)'!$G$2:$G$4)</f>
        <v>0.33844733392154086</v>
      </c>
    </row>
    <row r="9" spans="2:11" x14ac:dyDescent="0.35">
      <c r="H9" t="str">
        <f>'Store Map Data (ranked)'!B3</f>
        <v>Astoria</v>
      </c>
      <c r="I9" s="3">
        <f>'Store Map Data (ranked)'!G3</f>
        <v>232243.91</v>
      </c>
      <c r="J9" s="4">
        <f>'Store Map Data (ranked)'!E3</f>
        <v>50599</v>
      </c>
      <c r="K9" s="5">
        <f>'Store Map Data (ranked)'!G3/SUM('Store Map Data (ranked)'!$G$2:$G$4)</f>
        <v>0.33234088757420749</v>
      </c>
    </row>
    <row r="10" spans="2:11" x14ac:dyDescent="0.35">
      <c r="H10" t="str">
        <f>'Store Map Data (ranked)'!B4</f>
        <v>Lower Manhattan</v>
      </c>
      <c r="I10" s="3">
        <f>'Store Map Data (ranked)'!G4</f>
        <v>230057.25</v>
      </c>
      <c r="J10" s="4">
        <f>'Store Map Data (ranked)'!E4</f>
        <v>47782</v>
      </c>
      <c r="K10" s="5">
        <f>'Store Map Data (ranked)'!G4/SUM('Store Map Data (ranked)'!$G$2:$G$4)</f>
        <v>0.3292117785042516</v>
      </c>
    </row>
    <row r="12" spans="2:11" x14ac:dyDescent="0.35">
      <c r="H12" s="6" t="s">
        <v>9</v>
      </c>
      <c r="I12" s="3">
        <f>'Store Map Data (ranked)'!G2-'Store Map Data (ranked)'!G4</f>
        <v>6453.9200000000128</v>
      </c>
    </row>
    <row r="13" spans="2:11" x14ac:dyDescent="0.35">
      <c r="H13" s="6" t="s">
        <v>10</v>
      </c>
      <c r="I13" s="7">
        <f>SUM('Store Map Data (ranked)'!F2:F4)/SUM('Store Map Data (ranked)'!E2:E4)</f>
        <v>1.4382762413154859</v>
      </c>
    </row>
  </sheetData>
  <mergeCells count="8">
    <mergeCell ref="B2:C2"/>
    <mergeCell ref="D2:E2"/>
    <mergeCell ref="F2:G2"/>
    <mergeCell ref="H2:I2"/>
    <mergeCell ref="B3:C3"/>
    <mergeCell ref="D3:E3"/>
    <mergeCell ref="F3:G3"/>
    <mergeCell ref="H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zoomScaleNormal="100" workbookViewId="0"/>
  </sheetViews>
  <sheetFormatPr defaultColWidth="8.6328125" defaultRowHeight="14.5" x14ac:dyDescent="0.35"/>
  <sheetData>
    <row r="1" spans="1:7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35">
      <c r="A2">
        <v>3</v>
      </c>
      <c r="B2" t="s">
        <v>18</v>
      </c>
      <c r="C2">
        <v>40.764400000000002</v>
      </c>
      <c r="D2">
        <v>-73.923500000000004</v>
      </c>
      <c r="E2">
        <v>50599</v>
      </c>
      <c r="F2">
        <v>70991</v>
      </c>
      <c r="G2">
        <v>232243.91</v>
      </c>
    </row>
    <row r="3" spans="1:7" x14ac:dyDescent="0.35">
      <c r="A3">
        <v>5</v>
      </c>
      <c r="B3" t="s">
        <v>19</v>
      </c>
      <c r="C3">
        <v>40.712800000000001</v>
      </c>
      <c r="D3">
        <v>-74.006</v>
      </c>
      <c r="E3">
        <v>47782</v>
      </c>
      <c r="F3">
        <v>71742</v>
      </c>
      <c r="G3">
        <v>230057.25</v>
      </c>
    </row>
    <row r="4" spans="1:7" x14ac:dyDescent="0.35">
      <c r="A4">
        <v>8</v>
      </c>
      <c r="B4" t="s">
        <v>20</v>
      </c>
      <c r="C4">
        <v>40.767600000000002</v>
      </c>
      <c r="D4">
        <v>-73.991799999999998</v>
      </c>
      <c r="E4">
        <v>50735</v>
      </c>
      <c r="F4">
        <v>71737</v>
      </c>
      <c r="G4">
        <v>236511.17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zoomScaleNormal="100" workbookViewId="0"/>
  </sheetViews>
  <sheetFormatPr defaultColWidth="8.6328125" defaultRowHeight="14.5" x14ac:dyDescent="0.35"/>
  <cols>
    <col min="7" max="7" width="10.81640625" bestFit="1" customWidth="1"/>
  </cols>
  <sheetData>
    <row r="1" spans="1:7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35">
      <c r="A2">
        <v>8</v>
      </c>
      <c r="B2" t="s">
        <v>20</v>
      </c>
      <c r="C2">
        <v>40.767600000000002</v>
      </c>
      <c r="D2">
        <v>-73.991799999999998</v>
      </c>
      <c r="E2">
        <v>50735</v>
      </c>
      <c r="F2">
        <v>71737</v>
      </c>
      <c r="G2" s="8">
        <v>236511.17</v>
      </c>
    </row>
    <row r="3" spans="1:7" x14ac:dyDescent="0.35">
      <c r="A3">
        <v>3</v>
      </c>
      <c r="B3" t="s">
        <v>18</v>
      </c>
      <c r="C3">
        <v>40.764400000000002</v>
      </c>
      <c r="D3">
        <v>-73.923500000000004</v>
      </c>
      <c r="E3">
        <v>50599</v>
      </c>
      <c r="F3">
        <v>70991</v>
      </c>
      <c r="G3" s="8">
        <v>232243.91</v>
      </c>
    </row>
    <row r="4" spans="1:7" x14ac:dyDescent="0.35">
      <c r="A4">
        <v>5</v>
      </c>
      <c r="B4" t="s">
        <v>19</v>
      </c>
      <c r="C4">
        <v>40.712800000000001</v>
      </c>
      <c r="D4">
        <v>-74.006</v>
      </c>
      <c r="E4">
        <v>47782</v>
      </c>
      <c r="F4">
        <v>71742</v>
      </c>
      <c r="G4" s="8">
        <v>230057.25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Map</vt:lpstr>
      <vt:lpstr>Store Map Data</vt:lpstr>
      <vt:lpstr>Store Map Data (ranked)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1</cp:revision>
  <dcterms:created xsi:type="dcterms:W3CDTF">2026-09-20T16:10:42Z</dcterms:created>
  <dcterms:modified xsi:type="dcterms:W3CDTF">2026-09-20T16:49:07Z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2026-09-20T16:15:15Z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af69c7ca-586a-4fb0-836a-8aa3d9cb22fc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